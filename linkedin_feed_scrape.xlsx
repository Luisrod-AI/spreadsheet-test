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s" sheetId="1" r:id="rId5"/>
    <sheet state="visible" name="Category Summary" sheetId="2" r:id="rId6"/>
    <sheet state="visible" name="Author Leaderboard" sheetId="3" r:id="rId7"/>
  </sheets>
  <definedNames/>
  <calcPr/>
</workbook>
</file>

<file path=xl/sharedStrings.xml><?xml version="1.0" encoding="utf-8"?>
<sst xmlns="http://schemas.openxmlformats.org/spreadsheetml/2006/main" count="1139" uniqueCount="478">
  <si>
    <t>Engagement by Content Category</t>
  </si>
  <si>
    <t>All figures pull live from the Posts sheet via SUMIF/COUNTIF/AVERAGEIF - edit Posts and these update.</t>
  </si>
  <si>
    <t>Category</t>
  </si>
  <si>
    <t>LinkedIn Feed Scrape - 1st Connections, Sorted by Latest</t>
  </si>
  <si>
    <t>Post Count</t>
  </si>
  <si>
    <t>Total Engagement</t>
  </si>
  <si>
    <t>Avg Engagement / Post</t>
  </si>
  <si>
    <t>Share of Posts</t>
  </si>
  <si>
    <t>Hiring / Recruiting</t>
  </si>
  <si>
    <t>Source: linkedin.com/search/results/content (postedBy=1st connections, sortBy=date_posted). Pulled Sept 2026. Engagement = reactions + comments + reposts. Category assigned by keyword heuristic - verify before using. Post Link opens the original LinkedIn post.</t>
  </si>
  <si>
    <t>Author</t>
  </si>
  <si>
    <t>Headline / Role</t>
  </si>
  <si>
    <t>Post Age</t>
  </si>
  <si>
    <t>Engagement by Author (all posts in sample)</t>
  </si>
  <si>
    <t>Reactions</t>
  </si>
  <si>
    <t>Comments</t>
  </si>
  <si>
    <t>Reposts</t>
  </si>
  <si>
    <t>Total Engagement and Post Count pull live from the Posts sheet via SUMIF/COUNTIF.</t>
  </si>
  <si>
    <t>Language</t>
  </si>
  <si>
    <t>Post Link</t>
  </si>
  <si>
    <t>Content Snippet</t>
  </si>
  <si>
    <t>Andreina Isabel Díaz Ravelo</t>
  </si>
  <si>
    <t>Posts in Sample</t>
  </si>
  <si>
    <t>Head of Talent Growth &amp; Operations</t>
  </si>
  <si>
    <t>1h</t>
  </si>
  <si>
    <t>Amarilis Gonzalez</t>
  </si>
  <si>
    <t>hiring</t>
  </si>
  <si>
    <t>Spanish</t>
  </si>
  <si>
    <t>https://lnkd.in/p/gCrdEkRu</t>
  </si>
  <si>
    <t>Lead-gen / Coaching bait</t>
  </si>
  <si>
    <t>Thought leadership / Opinion</t>
  </si>
  <si>
    <t>Monika Saleta, DrBA</t>
  </si>
  <si>
    <t>Company / Product promo</t>
  </si>
  <si>
    <t>Andreina Isabel Díaz Ravelo • 1st Head of Talent Growth &amp; Operations 1h • Buscamos un(a) Senior Talent IT Specialist para sumarse a nuestro equipo y liderar procesos de selección de principio a fin. Serás protagonista en la búsqueda de talento tecnológico para clientes de distintas industrias, trabajando con perfiles altamente especializados en desarrollo de software, cloud, datos, arquitectura, ciberseguridad y más. Si eres de quienes no esperan que los candidatos postulen, sino que salen a encontrarlos, esta oportunidad es para ti. ¿Cuáles serán tus funciones?😎 - Liderar procesos d</t>
  </si>
  <si>
    <t>BelisariosCorpTech .</t>
  </si>
  <si>
    <t>CEO</t>
  </si>
  <si>
    <t>Maxence Marius</t>
  </si>
  <si>
    <t>other</t>
  </si>
  <si>
    <t>https://lnkd.in/p/gTGeaBU2</t>
  </si>
  <si>
    <t>Job seeking / Open to work</t>
  </si>
  <si>
    <t>BelisariosCorpTech . • 1st CEO 1h • "IMPRESORAS DE PEQUEÑO Y GRAN FORMATO A TÚ DISPOSICIÓN" Somos BelisariosCorpTech, "Una organización cuyo modelo de negocio exponencial le permite empoderar gente, empresas e impulsar el desarrollo de la actividad económica nacional. (INFRAESTRUCTURA TECNOLÓGICA EMPRESARIAL) "Servidores(DL360,DL380,R540, R760xs, r660xs, Ml110, Ml30) laptops (Hp, Lenovo, dell, Gateway, apple , Acer, Asus, msi) switches (24-48Ports) Monitores, Impresoras, storage Powervoult ME5012 y otros en líneas generales, Radios Intrìnsecamente seguros, Video Beams, Pc, all in on</t>
  </si>
  <si>
    <t>Raul Montalvo</t>
  </si>
  <si>
    <t>Ariana Sol Geraci</t>
  </si>
  <si>
    <t>Psychologist / Global Recruiter 🚀💻</t>
  </si>
  <si>
    <t>2h</t>
  </si>
  <si>
    <t>thought_leadership</t>
  </si>
  <si>
    <t>https://lnkd.in/p/gH-VbRt8</t>
  </si>
  <si>
    <t>Other (updates, misc)</t>
  </si>
  <si>
    <t>Ariana Sol Geraci • 1st Psychologist / Global Recruiter 🚀💻 2h • Edited • Hola red!👋 Está creciendo nuestro equipo en South, y estamos buscando un/a #𝗖𝗼𝗽𝘆𝘄𝗿𝗶𝘁𝗲𝗿 🚀 📍 100% remoto desde LATAM 🕐 Full-time, de lunes a viernes. El puesto requiere al menos 6 horas de superposición diaria con nuestro equipo en Argentina (9:00 AM–6:00 PM, hora de Argentina). 🎯 𝗤𝘂𝗲́ 𝗯𝘂𝘀𝗰𝗮𝗺𝗼𝘀 • Experiencia comprobable en copywriting B2B, marketing de contenidos o contenido SEO. • Sólidas habilidades de redacción B2B y excelente nivel de inglés escrito, con capacidad para simplificar t</t>
  </si>
  <si>
    <t>Rocío García Algora</t>
  </si>
  <si>
    <t>Ashley Sullivan</t>
  </si>
  <si>
    <t>Talent Acquisition Partner-Nursing</t>
  </si>
  <si>
    <t>3h</t>
  </si>
  <si>
    <t>English</t>
  </si>
  <si>
    <t>https://lnkd.in/p/gD8dacUF</t>
  </si>
  <si>
    <t>TOTAL</t>
  </si>
  <si>
    <t>Mariam Veiga</t>
  </si>
  <si>
    <t>Engagement by Post Language</t>
  </si>
  <si>
    <t>Ricardo Rincón</t>
  </si>
  <si>
    <t>Language assigned by stopword-frequency heuristic on the post snippet (Spanish/English/Portuguese lexicons) - spot-check before treating as ground truth.</t>
  </si>
  <si>
    <t>Ashley Sullivan • 1st Talent Acquisition Partner-Nursing 3h • 💜 Calling experienced Critical Care nurses ready to take the next step in their leadership journey! Novant Health Huntersville Medical Center is looking for an Assistant Nurse Manager (ANM) to join our Medical ICU team. This is an exciting opportunity to support a talented team while making an impact through clinical leadership, mentorship, collaboration, and exceptional patient care. ✨ Relocation assistance available ✨ ANM shift incentive available ✨ Flexible schedule between 5:00 PM–3:00 AM ✨ Four 10-hour shifts per wee</t>
  </si>
  <si>
    <t>Posicionamiento de marca en LinkedIn para especialistas B2B cuyo reconocimiento no refleja su experiencia.| Haz visible el valor que te hace diferente y conviértelo en una marca que el mercado entiende, recuerda y elige.</t>
  </si>
  <si>
    <t>6h</t>
  </si>
  <si>
    <t>Vanessa Brito Montilla</t>
  </si>
  <si>
    <t>https://lnkd.in/p/gxBy4CPj</t>
  </si>
  <si>
    <t>María Rojas</t>
  </si>
  <si>
    <t>Rocío García Algora • 1st Posicionamiento de marca en LinkedIn para especialistas B2B cuyo reconocimiento no refleja su experiencia.| Haz visible el valor que te hace diferente y conviértelo en una marca que el mercado entiende, recuerda y elige. 6h • 3 dudas sobre tu cliente ideal que pueden estar frenando tu posicionamiento, y tu cartera 🤌 1. "Si segmento mucho, pierdo oportunidades" Las oportunidades las pierdes cuando no generas un mensaje que conecta con tu cliente Piensa en la última ocasión que has necesitado resolver un asunto complejo: ¿elegiste al generalista o a algu</t>
  </si>
  <si>
    <t>Deisa González</t>
  </si>
  <si>
    <t>Deisa González: Director en  Miradas Empresariales / Consultor empresarial / Psicóloga FPV: 4532.  Magíster en Relaciones industriales y laborales .</t>
  </si>
  <si>
    <t>14h</t>
  </si>
  <si>
    <t>Álvaro Peña de Luna</t>
  </si>
  <si>
    <t>https://lnkd.in/p/gBgN_rgv</t>
  </si>
  <si>
    <t>Portuguese</t>
  </si>
  <si>
    <t>Rodolfo Barbosa</t>
  </si>
  <si>
    <t>Deisa González • 1st Deisa González: Director en Miradas Empresariales / Consultor empresarial / Psicóloga FPV: 4532. Magíster en Relaciones industriales y laborales . 14h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del neg</t>
  </si>
  <si>
    <t>20h</t>
  </si>
  <si>
    <t>https://lnkd.in/p/gKA-Pb56</t>
  </si>
  <si>
    <t>Natalia Montolio</t>
  </si>
  <si>
    <t>BelisariosCorpTech . • 1st CEO 20h • “VAMOS DE TÚ MANO EN LOS PROYECTOS DE MODERNIZACIÓN"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 Beams, Pc, a</t>
  </si>
  <si>
    <t>Lorena Alejandra Rodriguez</t>
  </si>
  <si>
    <t>Iván Ramos</t>
  </si>
  <si>
    <t>Sales Manager at OCTOPUS Agencia SEO</t>
  </si>
  <si>
    <t>1d</t>
  </si>
  <si>
    <t>https://lnkd.in/p/gWnUyKAu</t>
  </si>
  <si>
    <t>Iván Ramos • 1st Sales Manager at OCTOPUS Agencia SEO Book an appointment 1d • Tu agencia SEO te dice "vamos bien" cada mes... pero tu flujo de caja dice otra cosa Hay 7 KPIs que te dicen si tu agencia sabe lo que hace Los juntamos en un ebook Incluye la tasa a la que crece un sitio en Google sin que nadie lo toque (Si tu agencia no la supera, está cobrando por nada) Comenta "KPI" y te lo mando por DM Por fa, asegúrate de que estemos conectados, si no, LinkedIn no me deja escribirte O si prefieres que revisemos tu caso en tiempo real: https://lnkd.in/ezvC9qSY … more Show translat</t>
  </si>
  <si>
    <t>coCEO, Head of SEO e IA de iSocialWeb, Growwer, Mencoro.com y Vuela.ai🎙️Podcaster de IA en El Test de Turing</t>
  </si>
  <si>
    <t>https://lnkd.in/p/gpCZF5i2</t>
  </si>
  <si>
    <t>Álvaro Peña de Luna • 1st coCEO, Head of SEO e IA de iSocialWeb, Growwer, Mencoro.com y Vuela.ai🎙️Podcaster de IA en El Test de Turing 1d • 😈 HACKEANDO Google Business Profile: Alguien puede poner su teléfono en la ficha de Google de tu negocio. Sin tocar tu ficha. Lo hace con una foto generada con IA. Y Google la muestra arriba, casi como si fuera tu imagen de portada. El caso está documentado esta semana. Y lo que acabó resolviéndolo no fue el formulario de denuncia. Lo contó Naomi Stevens en un grupo de LinkedIn, y de ahí lo recogió Sam Sarsten. Cliente suyo, empresa de tejados.</t>
  </si>
  <si>
    <t>Lina Garcia</t>
  </si>
  <si>
    <t>Costeo y Pricing | ABC Logística | Preparamos tus pedidos para Retail, Distribuidores, Marketplaces, Ecommerce  | 3PL México</t>
  </si>
  <si>
    <t>2d</t>
  </si>
  <si>
    <t>https://lnkd.in/p/gF5by3Jq</t>
  </si>
  <si>
    <t>Lina Garcia • 1st Costeo y Pricing | ABC Logística | Preparamos tus pedidos para Retail, Distribuidores, Marketplaces, Ecommerce | 3PL México 2d • Entras a LinkedIn y entre varios mensajes automatizados ves uno como este. Una vendedora que se interesa, que está a dispuesta a aprender, que quiere dar algo a cambio “puedo ir a poner etiquetas o algo” (esto probablemente no se pueda por temas de relación laboral) pero eso no importa, vale mucho la intención. Al final, si Brenda va a visitarnos y me deja su portafolio de transportes lo recibiré con gusto, porque además, estoy segura qu</t>
  </si>
  <si>
    <t>Betlem Cardona Devesa</t>
  </si>
  <si>
    <t>Marca personal como fuerza comercial | Para directivos y emprendedores que quieren que su nombre abra puertas y genere oportunidades de negocio | +750 proyectos</t>
  </si>
  <si>
    <t>https://lnkd.in/p/gA46JcU5</t>
  </si>
  <si>
    <t>Mariam Veiga • 1st Marca personal como fuerza comercial | Para directivos y emprendedores que quieren que su nombre abra puertas y genere oportunidades de negocio | +750 proyectos Book an appointment 2d • LinkedIn ha dejado de quererme. He intentado unas 5 veces compartir un post, pero nada. Que no. No quiere. ¿Alguien puede decirme qué puede estar pasando? PD: y sin embargo, esto, sí me deja... … more Show translation Mariam Veiga and 22 others reacted Mariam Veiga and 22 others 42 comments 42 comments Like Comment Repost Send</t>
  </si>
  <si>
    <t>Asdrubal R. Oliveros P.</t>
  </si>
  <si>
    <t>22h</t>
  </si>
  <si>
    <t>https://lnkd.in/p/gcJ-zvgm</t>
  </si>
  <si>
    <t>BelisariosCorpTech . • 1st CEO 22h • "LAPTOPS IDEALES PARA TÚ ORGANIZACIÓN "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 Beams, Pc, all in one, ce</t>
  </si>
  <si>
    <t>Consigo que tu empresa venda más diferenciándote - LinkedIn TopVoice - CEO @esmartia - Mentor - Inbound Marketing - IA para B2B - Marketing de Contenidos - B2B - Estrategia digital - CRM - A la caza de vendehumos</t>
  </si>
  <si>
    <t>Zargaam U.</t>
  </si>
  <si>
    <t>https://lnkd.in/p/gn27njry</t>
  </si>
  <si>
    <t>Raul Montalvo • 1st Consigo que tu empresa venda más diferenciándote - LinkedIn TopVoice - CEO @esmartia - Mentor - Inbound Marketing - IA para B2B - Marketing de Contenidos - B2B - Estrategia digital - CRM - A la caza de vendehumos View my newsletter 2d • Herramientas que no sirven para nada: HubSpot, Salesforce, ChatGPT, Claude, Grok, LinkedIn, Photoshop... En serio, ¿alguna de ellas te va a traer clientes si se lo pides? ¿No es eso lo que realmente quieres? Pues ninguna de ellas te sirve para atraer clientes, necesitas hacer, pero, sobre todo, necesitas saber hacer. Le puedes c</t>
  </si>
  <si>
    <t>3d</t>
  </si>
  <si>
    <t>Fernando P. Maniglia</t>
  </si>
  <si>
    <t>https://lnkd.in/p/gUumNGBj</t>
  </si>
  <si>
    <t>Deisa González • 1st Deisa González: Director en Miradas Empresariales / Consultor empresarial / Psicóloga FPV: 4532. Magíster en Relaciones industriales y laborales . 3d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del nego</t>
  </si>
  <si>
    <t>Cristian Albor</t>
  </si>
  <si>
    <t>Bilingual Sr. Recruiter | Technical Recruiter | Staffing | Talent Acquisition | AI-Driven Hiring | Building High-Performance Teams</t>
  </si>
  <si>
    <t>Kishalaya Mukhopadhyay</t>
  </si>
  <si>
    <t>https://lnkd.in/p/g8Tjw6B5</t>
  </si>
  <si>
    <t>Cristian Albor • 1st Bilingual Sr. Recruiter | Technical Recruiter | Staffing | Talent Acquisition | AI-Driven Hiring | Building High-Performance Teams 3d • Costa Caribe, necesito que LinkedIn haga su magia Estamos armando una crew de talento creativo senior en Barranquilla, Cartagena, Santa Marta y otros puntos del Caribe colombiano Para trabajar de forma flexible con empresas, corporativos y marcas top en proyectos que están generando impacto para millones de personas! Buscamos: 🎨 Graphic Designer ✍️ Copywriters 🎞️ Animadores (todas las disciplinas y estilos de animación) 🎬 Mot</t>
  </si>
  <si>
    <t>I turn senior and C-Level careers into positioning that generates roles, authority or clients in 2 weeks | VÉRTICE Method | Spanish-speaking executives in the US, LATAM &amp; Spain | 400+ repositioned</t>
  </si>
  <si>
    <t>4d</t>
  </si>
  <si>
    <t>https://lnkd.in/p/g6ZbmF_g</t>
  </si>
  <si>
    <t>Amarilis Gonzalez • 1st I turn senior and C-Level careers into positioning that generates roles, authority or clients in 2 weeks | VÉRTICE Method | Spanish-speaking executives in the US, LATAM &amp; Spain | 400+ repositioned 4d • 2 directores financieros misma industria, casi el mismo CV uno sin llamadas en 4 meses, el otro con 3 procesos abiertos Trayectorias casi idénticas en un papel. Pero un candidato lleva 4 meses sin una sola llamada, mientras que el otro tiene 3 procesos abiertos apenas en 6 semanas. La diferencia no fue el CV, ni fue LinkedIn. Uno contaba lo que hizo. El otr</t>
  </si>
  <si>
    <t>https://lnkd.in/p/gd_yd6qD</t>
  </si>
  <si>
    <t>BelisariosCorpTech . • 1st CEO 3d • "LAPTOPS IDEALES PARA TÚ PERSONAL ADMINISTRATIVO"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 Beams, Pc, all i</t>
  </si>
  <si>
    <t>https://lnkd.in/p/gKKFMeRd</t>
  </si>
  <si>
    <t>Jesus Vivas Medina</t>
  </si>
  <si>
    <t>Rocío García Algora • 1st Posicionamiento de marca en LinkedIn para especialistas B2B cuyo reconocimiento no refleja su experiencia.| Haz visible el valor que te hace diferente y conviértelo en una marca que el mercado entiende, recuerda y elige. 4d • No trabajar tu posicionamiento es una opción... aunque no es una buena idea 🤌 Show translation pereza-posicionamiento-linkedi · 10 pages 28 reactions 28 18 comments 18 comments Like Comment Repost Send</t>
  </si>
  <si>
    <t>#1 Talent Sourcer - Ad-Hoc &amp; Embedded ● No recruitment agencies. No high fees. No job boards. Top 1% candidates in 7 days for any role or location ● monikasaleta.com + hi@monikasaleta.com</t>
  </si>
  <si>
    <t>5d</t>
  </si>
  <si>
    <t>https://lnkd.in/p/gb9fzmsq</t>
  </si>
  <si>
    <t>Carlos González</t>
  </si>
  <si>
    <t>Monika Saleta, DrBA • 1st #1 Talent Sourcer - Ad-Hoc &amp; Embedded ● No recruitment agencies. No high fees. No job boards. Top 1% candidates in 7 days for any role or location ● monikasaleta.com + hi@monikasaleta.com 5d • want to know in 5 minutes if your recruiting team is actually sourcing? ask them one question: what tools do you use to find candidates? if the answer is "linkedin" - and that's IT, that's the whole answer... you should already know something's not right follow up and ask what else they use for outreach email, automation, anything beyond inmail usually what you get</t>
  </si>
  <si>
    <t>Leandro Santorsola</t>
  </si>
  <si>
    <t>SEO Specialist</t>
  </si>
  <si>
    <t>https://lnkd.in/p/g_2V2vrY</t>
  </si>
  <si>
    <t>Nakary Mendoza</t>
  </si>
  <si>
    <t>Leandro Santorsola • 1st SEO Specialist 5d • Today I'd like to share one of my biggest achievements of the year! I officially attained a score of 5.5 out of 6 (C1) on the TOEFL iBT exam. This is a highly demanding English test recognized by 13,000+ institutions across 160+ countries. With this score, I am demonstrating my ability to have natural conversations, understand long and complex texts, and write well-structured messages in a professional setting. Note: The official PDF is available on my LinkedIn profile. … more Celebrating an educational milestone Maria Jose Navarrete re</t>
  </si>
  <si>
    <t>https://lnkd.in/p/gXjNuewt</t>
  </si>
  <si>
    <t>venus Castellanos</t>
  </si>
  <si>
    <t>BelisariosCorpTech . • 1st CEO 4d •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 Beams, Pc, all in one, centrales telefónicas, baterías, Ups (2kva,3</t>
  </si>
  <si>
    <t>Stephany Emilia Amaro</t>
  </si>
  <si>
    <t>Influencer Marketing &amp; Creative Strategy | Content + Community | Brand Partnerships &amp; Experiences</t>
  </si>
  <si>
    <t>6d</t>
  </si>
  <si>
    <t>https://lnkd.in/p/gSasftyB</t>
  </si>
  <si>
    <t>Stephany Emilia Amaro • 1st Influencer Marketing &amp; Creative Strategy | Content + Community | Brand Partnerships &amp; Experiences 6d • A veces siento que B2B significa: business to boring. :) Porque en cuanto una empresa empieza a hablarle a otra empresa aparecen de repente: las frases que nadie diría en una conversación real, los mismos temas que ya publicaron otras 200 compañías, Pero hay un dato que me parece especialmente interesante. Según Edelman y LinkedIn: 65% de los compradores B2B que influyen internamente en una decisión prefieren contenido más humano y menos formal. 86% quie</t>
  </si>
  <si>
    <t>Salvador Ramos Lopez</t>
  </si>
  <si>
    <t>https://lnkd.in/p/gGqhqjSW</t>
  </si>
  <si>
    <t>Rocío García Algora • 1st Posicionamiento de marca en LinkedIn para especialistas B2B cuyo reconocimiento no refleja su experiencia.| Haz visible el valor que te hace diferente y conviértelo en una marca que el mercado entiende, recuerda y elige. 5d • Nos han dicho que para conectar en Linkedin tenemos que contar nuestra historia. Yo creo que falta una parte 🤌 Y precisamente porque nadie explica bien qué significa contar tu historia, el feed se ha llenado de lecciones de vida extraídas de cualquier parte y de cualquier manera. ▶︎ ¿Quién no ha leído sobre lo que Pepito aprendió de</t>
  </si>
  <si>
    <t>Diego Edgardo Martin Camacho</t>
  </si>
  <si>
    <t>¿Problemas con tus ventas? +12 años resolviéndolos · LinkedIn · Sales Navigator · ChatGPT · Claude aplicados a VENTAS · Ingeniera Industrial</t>
  </si>
  <si>
    <t>https://lnkd.in/p/gigqKrkD</t>
  </si>
  <si>
    <t>Natalia Montolio • 1st ¿Problemas con tus ventas? +12 años resolviéndolos · LinkedIn · Sales Navigator · ChatGPT · Claude aplicados a VENTAS · Ingeniera Industrial Book an appointment 6d • Edited • ⛱️Lo que antes hacías subiendo un Excel a Claude o a ChatGPT, ahora hazlo dentro del propio Excel. 1️⃣ Abre Excel. 2️⃣ Entra en Complementos. 3️⃣ Busca Claude by Anthropic. (O ChatGPT,pero yo llevo tres meses usando el de Claude y perfecto, el de ChatGPT no me lo he instalado y suelto uso Grok porque es megarápido para Excels con muchos datos) 4️⃣ Instálalo y empieza a trabajar con Cl</t>
  </si>
  <si>
    <t>Claudio Cavezzali</t>
  </si>
  <si>
    <t>Katherine Uriarte Ortiz</t>
  </si>
  <si>
    <t>Marketing Strategist with a Bachelor’s Degree and MS in Marketing | Strategic Growth Leader | CMO at Consultoría MKT®</t>
  </si>
  <si>
    <t>leadgen_coaching</t>
  </si>
  <si>
    <t>https://lnkd.in/p/g5WiK9J5</t>
  </si>
  <si>
    <t>Leonardo Manotas Garcés</t>
  </si>
  <si>
    <t>Claudio Cavezzali • 1st Marketing Strategist with a Bachelor’s Degree and MS in Marketing | Strategic Growth Leader | CMO at Consultoría MKT® Visit my website 6d • El instinto que te llevó a facturar tus primeros millones suele ser el mismo que frena tu siguiente nivel de escala. 🏛️📈📉 En las etapas tempranas, la intuición del fundador y la capacidad de resolver emergencias diarias en la trinchera comercial alcanzan para crecer. Pero conforme la compañía se consolida, los mercados se vuelven volátiles y la competencia presiona los márgenes, depender únicamente de la intuición direc</t>
  </si>
  <si>
    <t>https://lnkd.in/p/gUqjvB9H</t>
  </si>
  <si>
    <t>Valeria Seoane Macchiavello</t>
  </si>
  <si>
    <t>Deisa González • 1st Deisa González: Director en Miradas Empresariales / Consultor empresarial / Psicóloga FPV: 4532. Magíster en Relaciones industriales y laborales . 6d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del</t>
  </si>
  <si>
    <t>https://lnkd.in/p/gSrcgsrN</t>
  </si>
  <si>
    <t>BelisariosCorpTech . • 1st CEO 5d • "COMPROMETIDOS CON LA MODERNIZACIÓN DE TÚ EMPRESA"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 Beams, Pc, all</t>
  </si>
  <si>
    <t>Audience Business Director en Flat 101 😎 | Directora del Máster SEO SEM de DKS (Kschool) 📔 | Comprometida con #MujeresEnSEO 🔝 | Divulgadora de SEO / GEO, Estrategia y Liderazgo 📚 | Impulsando proyectos desde 2005 🚀</t>
  </si>
  <si>
    <t>https://lnkd.in/p/gDCB76VB</t>
  </si>
  <si>
    <t>Muhammad Ali</t>
  </si>
  <si>
    <t>Betlem Cardona Devesa • 1st Audience Business Director en Flat 101 😎 | Directora del Máster SEO SEM de DKS (Kschool) 📔 | Comprometida con #MujeresEnSEO 🔝 | Divulgadora de SEO / GEO, Estrategia y Liderazgo 📚 | Impulsando proyectos desde 2005 🚀 6d • Ainssss, me temo que ya toca ir volviendo a la rutina tras un agosto agotador... ¿Y qué mejor que reactivar la asistencia a eventos donde aprender de grandes referentes y compartir experiencias? Este cuatrimestre viene cargadito de citas interesantes pero tengo que destacar dos en particular en los que me tocará subirme a un escenario e</t>
  </si>
  <si>
    <t>LATAM Recruiter | Executive Search | Talent Acquisition Consultant | Hiring Across LATAM | Sales • Tech • iGaming • Finance | Psychologist | English C1</t>
  </si>
  <si>
    <t>https://lnkd.in/p/gpGvJzuU</t>
  </si>
  <si>
    <t>Omar Fuentes Lambouret</t>
  </si>
  <si>
    <t>Valeria Seoane Macchiavello • 1st LATAM Recruiter | Executive Search | Talent Acquisition Consultant | Hiring Across LATAM | Sales • Tech • iGaming • Finance | Psychologist | English C1 6d • 📣 ¡Nueva oportunidad en Torreón, México! Desde Pacífica Continental nos encontramos en búsqueda de un/a Ejecutivo/a de Ventas – Corrugados para una importante compañía del sector industrial. Buscamos un perfil comercial con fuerte enfoque hunter, que disfrute abrir mercado, prospectar nuevos clientes y desarrollar relaciones comerciales de largo plazo. 📍 Torreón / Comarca Lagunera 💼 Modalidad</t>
  </si>
  <si>
    <t>https://lnkd.in/p/g4KyQRtX</t>
  </si>
  <si>
    <t>Sanchit Jain</t>
  </si>
  <si>
    <t>Ashley Sullivan • 1st Talent Acquisition Partner-Nursing 6d • 💜 Nurses, are you ready for your next opportunity? 🩺 If you’re considering a new nursing opportunity, I’d love to connect! Novant Health has a variety of nursing opportunities across our hospitals and specialties, and I’m happy to help you explore what may be the right fit for you. Whether you’re an experienced RN, looking to transition into a new specialty, or simply curious about what opportunities are available, let’s connect! I’m happy to answer questions about our teams, culture, opportunities, and the hiring proces</t>
  </si>
  <si>
    <t>Daniel Rosales</t>
  </si>
  <si>
    <t>CRM Integration Specialist | AI-ready operations for small business teams | Zoho, Make, Zapier, n8n</t>
  </si>
  <si>
    <t>1w</t>
  </si>
  <si>
    <t>https://lnkd.in/p/gy6HwnkP</t>
  </si>
  <si>
    <t>Diana Hernández</t>
  </si>
  <si>
    <t>Daniel Rosales • 1st CRM Integration Specialist | AI-ready operations for small business teams | Zoho, Make, Zapier, n8n 1w • I'm testing an approval-gated LinkedIn publishing workflow for Automated &amp; CO. The agent can prepare and validate the post, but the final publish action remains attributable to me. Buffer stays in our production workflow while we test this direct path. #BuildInPublic #Automation … more 0 1 comment 1 comment Like Comment Repost Send</t>
  </si>
  <si>
    <t>https://lnkd.in/p/gceBwhVf</t>
  </si>
  <si>
    <t>Antonella Ojuez</t>
  </si>
  <si>
    <t>BelisariosCorpTech . • 1st CEO 1w • TÚ EMPRESA PUEDE SER PARTE DE NUESTRA HISTORIA "HAGAMOS SINERGIA" Somos BelisariosCorpTech, "Una organización cuyo modelo de negocio exponencial le permite empoderar gente, empresas e impulsar el desarrollo de la actividad económica nacional. (INFRAESTRUCTURA TECNOLÓGICA EMPRESARIAL) "Servidores(DL360,DL380,R550 , R760xs, R660xs, R360), Licenciamiento, laptops (Hp, Lenovo, dell, Gateway, apple , Acer, Asus, msi) switches (24-48Ports) Monitores, Impresoras, storage Powervoult ME5012 y otros en líneas generales, Radios Intrìnsecamente seguros, Video</t>
  </si>
  <si>
    <t>GTM for B2B Companies | Co-founder @ Reverrr.com</t>
  </si>
  <si>
    <t>https://lnkd.in/p/gQZrjF2g</t>
  </si>
  <si>
    <t>Jesus Vivas Medina • 1st GTM for B2B Companies | Co-founder @ Reverrr.com 1w • En Reverrr hemos recibido (y seguimos recibiendo) más leads a través de Twitter que de LinkedIn 🥸 Un post que hice ayer: ↳ LinkedIn: 785 impresiones, 3 comentarios, 2 repost con 8.669 followers ↳ Twitter (me niego a llamarlo X): 2.547 impresiones, 43 likes, 1 repost, 6 comentarios con 4.120 followers (este verano puse un Tweet random que pasó los 2M de impresiones) Más del doble de alcance con la mitad de seguidores. Pero la cosa es que para Twitter no hay playbook, es como Reddit, si la gente detect</t>
  </si>
  <si>
    <t>https://lnkd.in/p/gvjn5jRF</t>
  </si>
  <si>
    <t>Raul Montalvo • 1st Consigo que tu empresa venda más diferenciándote - LinkedIn TopVoice - CEO @esmartia - Mentor - Inbound Marketing - IA para B2B - Marketing de Contenidos - B2B - Estrategia digital - CRM - A la caza de vendehumos View my newsletter 1w • El otro día un cliente me quería dar un beso, no lo hizo, sé que se quedó con las ganas, te cuento. Es un cliente que ha trabajado con consultoras grandes, ya sabes, las big four. Eso significa que ha gastado, digo invertido bastante dinero en tochos de folios que nadie se ha leido, ni se leerá. A mi me tocó revisar tres tochos d</t>
  </si>
  <si>
    <t>profesional en Talento Humano/Especialista en reclutamiento y selección/Capacitación y Desarrollo de talento y cultura Organizacional</t>
  </si>
  <si>
    <t>Ana Karina Valera</t>
  </si>
  <si>
    <t>https://lnkd.in/p/gqJKTcqh</t>
  </si>
  <si>
    <t>venus Castellanos • 1st profesional en Talento Humano/Especialista en reclutamiento y selección/Capacitación y Desarrollo de talento y cultura Organizacional 1w • Estimada Comunidad de Linkedin. Actualmente me encuentro en la búsqueda de la siguiente Vacante en Caracas-Venezuela: Ingeniero Civil Requisitos: *Colegiado en Ingeniería Civil (INDISPENSABLE). * Edad entre 30 y 40 años * Sexo Masculino *Experiencia en diseño de armaduras, cálculo de fundaciones y estructuras metálicas. *Amplia experiencia en inspección y supervisión de obras en sitio. *Dominio de estructuras metálicas y logíst</t>
  </si>
  <si>
    <t>Sr. Marketer, Integrated Campaigns @HubSpot | Product Marketing | GTM | Multichannel Marketing | Marketing Partnerships |</t>
  </si>
  <si>
    <t>Andreina Valera Duran</t>
  </si>
  <si>
    <t>https://lnkd.in/p/gm-m9Mse</t>
  </si>
  <si>
    <t>Lorena Alejandra Rodriguez • 1st Sr. Marketer, Integrated Campaigns @HubSpot | Product Marketing | GTM | Multichannel Marketing | Marketing Partnerships | 1w • Contexto, Agentes, AEO y Parrilla en Guadalajara 🇲🇽🥩🔥 Estuvimos en México compartiendo con la comunidad, hablando de lo que estamos haciendo en HubSpot, y aprendiendo a cocinar parrillada!!! Fue muy cool conectar, escuchar y entender qué pide el mercado. Ver personas espectaculares construyendo con la herramienta, creciendo con nuestros agentes de IA y WhatsApp coexistence!!! Una locura total. Algunos insights que compart</t>
  </si>
  <si>
    <t>Andreina Camara</t>
  </si>
  <si>
    <t>Peter Henry</t>
  </si>
  <si>
    <t>2x Founder | GTM &amp; Revenue Leader | Angel Investor | LATAM</t>
  </si>
  <si>
    <t>https://lnkd.in/p/gCPiE_CF</t>
  </si>
  <si>
    <t>Peter Henry • 1st 2x Founder | GTM &amp; Revenue Leader | Angel Investor | LATAM 1w • Outbound ha cambiado muchísimo con AI. Pero poder automatizar más no necesariamente significa que estamos construyendo un mejor revenue motion. Escribí este artículo sobre cómo yo diseñaría un outbound motion para Mid-Market desde cero — empezando por ARR y capacity planning, y trabajando hacia atrás hasta ICP, account research, multithreading, messaging, SDR + AE pipeline generation, RevOps y finalmente tooling/AI. No es una guía definitiva ni estoy vendiendo un servicio. Es simplemente cómo pienso sobre</t>
  </si>
  <si>
    <t>Samantha Turek</t>
  </si>
  <si>
    <t>SEO &amp; AI Freelance Consultant | Founder of Clicandseo: AI &amp; LLM Brand Visibility Platform</t>
  </si>
  <si>
    <t>https://lnkd.in/p/gkm34AUP</t>
  </si>
  <si>
    <t>Carlos González • 1st SEO &amp; AI Freelance Consultant | Founder of Clicandseo: AI &amp; LLM Brand Visibility Platform 1w • Bing ha perdido la mitad de su tráfico en un año. DuckDuckGo, un 16%. Amazon, un 15%. Ese tráfico no ha desaparecido: se ha ido a cuatro sitios 👇 El conjunto de las 150 webs más visitadas de EE. UU. creció un 6,1%. Los datos son de Semrush (julio 2025 vs julio 2026): ❇️ Ganadores: ChatGPT +48,4% · YouTube +36,6% · LinkedIn +15,5% · Google +10,7% ❇️ Perdedores: Bing −50,4% · NBC News −20,2% · DuckDuckGo −15,8% · Amazon −15,3% · Yahoo −13,8% El top 10 sigue concentra</t>
  </si>
  <si>
    <t>Eduardo Gamez</t>
  </si>
  <si>
    <t>I help fractional founders build the GTM foundations for their firm.</t>
  </si>
  <si>
    <t>https://lnkd.in/p/gtd-wwKd</t>
  </si>
  <si>
    <t>Eduardo Gamez • 1st I help fractional founders build the GTM foundations for their firm. 1w • After 5 months in stealth, I’m officially launching my newest project: Eduardo as a Service. I’m joking. Kind of. For the last months, I stopped trying to get more clients and went a bit quiet around here. It’s been a personally rough year. I lost my brother back in April, so I took a step back for a while. Instead of putting energy into growing my book of business, I decided to go deeper with the fractional founders I was already working with and help with whatever was actually getting i</t>
  </si>
  <si>
    <t>https://lnkd.in/p/gaEwsAhj</t>
  </si>
  <si>
    <t>BelisariosCorpTech . • 1st CEO 1w • Somos BelisariosCorpTech, "Una organización cuyo modelo de negocio exponencial le permite empoderar gente, empresas e impulsar el desarrollo de la actividad económica nacional. (DISPONIBILIDAD INMEDIATA EN TODAS NUESTRAS LÍNEAS DE PRODUCTOS) "Servidores(DL360,DL380,R540, R760xs, R660XS, R360, R570) laptops (Hp, Lenovo, dell, Gateway, apple , Acer, Asus, msi) switches (24-48Ports) Monitores, Impresoras, storage Powervoult ME5012 y otros en líneas generales, Radios Intrìnsecamente seguros, Video Beams, Pc, all in one, centrales telefónicas, baterías, U</t>
  </si>
  <si>
    <t>https://lnkd.in/p/g2Pf6vbU</t>
  </si>
  <si>
    <t>Rocío García Algora • 1st Posicionamiento de marca en LinkedIn para especialistas B2B cuyo reconocimiento no refleja su experiencia.| Haz visible el valor que te hace diferente y conviértelo en una marca que el mercado entiende, recuerda y elige. 1w • "A veces me esfuerzo mucho en una publicación y cero alcance". 🤌 En Linkedin se da una gran paradoja: ▶︎ Hay personas que tienen dificultad para desconectar; Otras, para ser constantes. Quienes consiguen llegar a unas ciertas métricas no quieren dejar de publicar por miedo a perder esa visibilidad y alcance. Quienes no entienden c</t>
  </si>
  <si>
    <t>Arnold Gutierrez</t>
  </si>
  <si>
    <t>https://lnkd.in/p/g54ytvZC</t>
  </si>
  <si>
    <t>Amarilis Gonzalez • 1st I turn senior and C-Level careers into positioning that generates roles, authority or clients in 2 weeks | VÉRTICE Method | Spanish-speaking executives in the US, LATAM &amp; Spain | 400+ repositioned 1w • Anthropic no lo escondió Publicó las reglas exactas de cómo usar IA para postularte a su empresa Y de paso escribió la mejor guía de empleabilidad que vas a leer este año Contrata como cualquier otra empresa. Y tiene en su web una página abierta donde le explica a quien quiera trabajar allí qué puede hacer con la IA y qué no. Es su política interna de selecció</t>
  </si>
  <si>
    <t>Xavier Lannes</t>
  </si>
  <si>
    <t>I post, therefore I am?</t>
  </si>
  <si>
    <t>Etlin Ortega</t>
  </si>
  <si>
    <t>https://lnkd.in/p/gW2sJSHj</t>
  </si>
  <si>
    <t>Xavier Lannes • 1st I post, therefore I am? 1w • AI CAN SELL ANYTHING… APPARENTLY. 😂 Bob asked AI to help him sell his old fax machines business. AI created a brilliant campaign: “🔥 FUTURE-PROOF YOUR BUSINESS! Own the technology that defined communication!” Bob was impressed. He ran Facebook ads, LinkedIn posts, emails, and even a 47-page sales funnel. Zero sales. So Bob asked AI, “Why isn’t this working?” AI analyzed the data for 12 seconds. “Your product may be experiencing… declining market demand.” Bob stared at the screen. “Declining?” AI replied: “Correct. Nobody wants a</t>
  </si>
  <si>
    <t>🔍 SEO Consultant LATAM &amp; Blogger | AI Search | Link Builder | Online Reputation | Digital Analytics</t>
  </si>
  <si>
    <t>https://lnkd.in/p/ge4FJfu3</t>
  </si>
  <si>
    <t>Arnold Gutierrez • 1st 🔍 SEO Consultant LATAM &amp; Blogger | AI Search | Link Builder | Online Reputation | Digital Analytics 1w • Hace un buen tiempo que no publico en LinkedIn, pero en agosto Google nos ha sorprendido con varios cambios… y ahora el SEO ya no debería medirse solo por rankings. Si trabajas en SEO, Marketing Digital o Negocios Digitales, estas son las novedades que deberías tener en el radar 👇 🔴 𝟭. 𝗔𝘂𝗴𝘂𝘀𝘁 𝟮𝟬𝟮𝟲 𝗦𝗽𝗮𝗺 𝗨𝗽𝗱𝗮𝘁𝗲 Google desplegó una actualización global contra el spam entre el 18 y 21 de agosto, generando una fuerte volatilidad en los ra</t>
  </si>
  <si>
    <t>Driving Digital Transformation &amp; Revenue Growth for Tech Companies | B2B SaaS &amp; IT Services Expert | Enterprise Account Management | Sales Automation &amp; GTM Strategy</t>
  </si>
  <si>
    <t>https://lnkd.in/p/gzetzG7Q</t>
  </si>
  <si>
    <t>Zargaam U. • 1st Driving Digital Transformation &amp; Revenue Growth for Tech Companies | B2B SaaS &amp; IT Services Expert | Enterprise Account Management | Sales Automation &amp; GTM Strategy 1w • If you’re interested in sales, building a career in tech sales, and creating opportunities across international markets, I’d love to have you join me. I’ll share practical lessons from my experience across North America, EMEA, GCC, and APAC, including what actually matters when building a global sales career. 🎙️ What It Takes to Build a Global Career in Tech Sales 📅 5 September | 5 PM PST 📍 Live o</t>
  </si>
  <si>
    <t>Mhailing López</t>
  </si>
  <si>
    <t>https://lnkd.in/p/gFj8aKCf</t>
  </si>
  <si>
    <t>BelisariosCorpTech . • 1st CEO 1w • "TODA LA INFRAESTRUCTURA TECNOLÓGICA QUE NECESITA TÚ EMPRESA" Somos BelisariosCorpTech, "Una organización cuyo modelo de negocio exponencial le permite empoderar gente, empresas e impulsar el desarrollo de la actividad económica nacional. DISPONIBILIDAD INMEDIATA EN: "Servidores(DL360,DL380,R360, R760xs, R360, r660xs, R570) laptops (Hp, Lenovo, dell, Gateway, apple , Acer, Asus, msi) switches (24-48Ports) Monitores, Impresoras, storage Powervoult ME5012 y otros en líneas generales, Radios Intrìnsecamente seguros, Video Beams, Pc, all in one, centr</t>
  </si>
  <si>
    <t>Marketing Data Science | Analytics | Growth | Marketing - Science, Measurement &amp; Effectiveness | Proud Cat Parent</t>
  </si>
  <si>
    <t>https://lnkd.in/p/gtCMN7eH</t>
  </si>
  <si>
    <t>Kishalaya Mukhopadhyay • 1st Marketing Data Science | Analytics | Growth | Marketing - Science, Measurement &amp; Effectiveness | Proud Cat Parent View my services 1w • Edited • Just hit 28,000 followers. The follower growth has actually been much slower since I hit 20K than it was from 15K to 20K. But that's fine, and in a way, exactly what I wanted. See unqualified reach has little to no commercial value. On the contrary, it can harm your brand. Think of qualified reach as a sort of adjusted R-squared - not adding every regressor is useful. About 4.5K followers in the last year or s</t>
  </si>
  <si>
    <t>Breno Latorre</t>
  </si>
  <si>
    <t>https://lnkd.in/p/gzUdzr9q</t>
  </si>
  <si>
    <t>Amarilis Gonzalez • 1st I turn senior and C-Level careers into positioning that generates roles, authority or clients in 2 weeks | VÉRTICE Method | Spanish-speaking executives in the US, LATAM &amp; Spain | 400+ repositioned 1w • Adiós Easy Apply. Bienvenido LinkedIn Apply. El botón se ve igual. Lo que ve el reclutador, no. LinkedIn confirmó hace unas semanas que está reemplazando Easy Apply por LinkedIn Apply, integrado ya con las primeras plataformas y en expansión progresiva. ¿Porque es importante para ti ejecutivo que buscas empleo? Junto al cambio llegó un Asistente de solicitud P</t>
  </si>
  <si>
    <t>Tech lead BI en CrossPoint 365 / Microsoft MVP Data Platform / Creador en Bitodata (YT) / CoAdmin @PowerBiEspanol en Telegram, Co-Presentador del Power BI Quizz en Español</t>
  </si>
  <si>
    <t>https://lnkd.in/p/gAqEgH8Z</t>
  </si>
  <si>
    <t>Ricardo Rincón • 1st Tech lead BI en CrossPoint 365 / Microsoft MVP Data Platform / Creador en Bitodata (YT) / CoAdmin @PowerBiEspanol en Telegram, Co-Presentador del Power BI Quizz en Español Visit my website 1w • Tired of not understanding exactly how CU consumption works in Microsoft Fabric? 🤯 The mystery is over. Terms like Smoothing and Throttling won't sound like ancient Latin anymore. 📜 Nor will it be a headache to understand the real difference (in $$$) between Reservations and PAYG (Pay As You Go). Today I'm officially launching the Fabric CUs Simulator 🚀. A free, open-</t>
  </si>
  <si>
    <t>Sahed Mhamud</t>
  </si>
  <si>
    <t>Head Hunter | Outplacement | Franquicias</t>
  </si>
  <si>
    <t>https://lnkd.in/p/gxv47gnJ</t>
  </si>
  <si>
    <t>Leonardo Manotas Garcés • 1st Head Hunter | Outplacement | Franquicias View my services 1w • Ningún equipo campeón manda a su mejor jugador a la cancha solo, contra once rivales. Pero eso es exactamente lo que hace un directivo cuando sale a buscar empleo por su cuenta ... compite solo contra reclutadores, algoritmos de LinkedIn y cientos de candidatos, sin nadie jugando para él, es como luchar contra el mundo Nosotros invertimos la lógica del Head Hunting: En vez de buscar candidatos para las empresas, buscamos empresas para el talento. Tomadores de decisiones abriéndote puerta</t>
  </si>
  <si>
    <t>Heber Carrizales</t>
  </si>
  <si>
    <t>Founder of AnaK SEO Lab | SEO Strategist | Local, eCommerce &amp; AI Search Optimization | USA &amp; LATAM</t>
  </si>
  <si>
    <t>https://lnkd.in/p/g7x56yuA</t>
  </si>
  <si>
    <t>Andres Medina Samano</t>
  </si>
  <si>
    <t>Ana Karina Valera • 1st Founder of AnaK SEO Lab | SEO Strategist | Local, eCommerce &amp; AI Search Optimization | USA &amp; LATAM 1w • Hoy quiero compartir algo que me emociona mucho: AnaK SEO Lab ya tiene su página oficial en LinkedIn. 💜 Durante estos años he utilizado este perfil para compartir lo que aprendo y aplico sobre SEO, marketing digital, contenido, inteligencia artificial y todo lo que implica construir una agencia. Pero AnaK SEO Lab también necesitaba su propio espacio. En nuestra nueva página compartiremos: → Estrategias prácticas de SEO y SEO local. → GEO y posicionamiento en bu</t>
  </si>
  <si>
    <t>https://lnkd.in/p/grysUGxb</t>
  </si>
  <si>
    <t>Claudio Cavezzali • 1st Marketing Strategist with a Bachelor’s Degree and MS in Marketing | Strategic Growth Leader | CMO at Consultoría MKT® Visit my website 1w • Pagar un paquete salarial corporativo completo cuando solo necesitas criterio estratégico de alto nivel es una pésima asignación de capital. 🧠🏛️ Durante décadas, la única forma de acceder a visión directiva sénior era sumar ejecutivos a tiempo completo con estructuras fijas rígidas, bonos garantizados y largos procesos de adaptación. Hoy, ese modelo enfrenta un límite claro de eficiencia de capital: 👉 En la PyME / Sca</t>
  </si>
  <si>
    <t>https://lnkd.in/p/geYHh4jx</t>
  </si>
  <si>
    <t>Diego Pasjalidis</t>
  </si>
  <si>
    <t>Amarilis Gonzalez • 1st I turn senior and C-Level careers into positioning that generates roles, authority or clients in 2 weeks | VÉRTICE Method | Spanish-speaking executives in the US, LATAM &amp; Spain | 400+ repositioned 1w • Un CV no debería limitarse a contar. Debería demostrar por qué tu experiencia importa. Esto fue lo que reconstruimos con Giovanni Mosconi Ospino. Su trayectoria era sólida: liderazgo tecnológico, innovación, inteligencia artificial, gestión de plataformas críticas y dirección de equipos multidisciplinarios. Pero por mucha experiencia, la forma en que estaba cont</t>
  </si>
  <si>
    <t>https://lnkd.in/p/gYeKxuwh</t>
  </si>
  <si>
    <t>Mariano Blejman</t>
  </si>
  <si>
    <t>Ricardo Rincón • 1st Tech lead BI en CrossPoint 365 / Microsoft MVP Data Platform / Creador en Bitodata (YT) / CoAdmin @PowerBiEspanol en Telegram, Co-Presentador del Power BI Quizz en Español Visit my website 1w • ¿Cansad@ de no entender cómo funciona exactamente el consumo de CUs en Microsoft Fabric? 🤯 Se acabó el misterio. Términos como Smoothing y Throttling ya no te sonarán a latín antiguo. 📜 Tampoco será un dolor de cabeza entender la diferencia real (en $$$) entre Reservas y PAYG (Pay As You Go). Hoy lanzo oficialmente el Fabric CUs Simulator 🚀. Un simulador educativo gr</t>
  </si>
  <si>
    <t>Tecnología, innovación y negocios | Ingeniero | MBA | Director ITBA | columnista Forbes | STEM | Management</t>
  </si>
  <si>
    <t>2w</t>
  </si>
  <si>
    <t>https://lnkd.in/p/gusJREcG</t>
  </si>
  <si>
    <t>Julio Cesar Torres</t>
  </si>
  <si>
    <t>Diego Pasjalidis • 1st Tecnología, innovación y negocios | Ingeniero | MBA | Director ITBA | columnista Forbes | STEM | Management 2w • 💣Estudiar ingeniería, formarse en tecnología, ayuda a mejorar las chances laborales. Escribí y dí varias conferencias sobre "techo de cristal" y equidad salarial y, en una de esas oportunidades, compartí que - justamente - las carreras menos elegidas por las mujeres eran las que más demanda profesional tenían y que mejores salarios pagaban (ver art "Brecha de género: de qué manera se manifiesta la discrepancia salarial entre mujeres y hombres" (infob</t>
  </si>
  <si>
    <t>Psicólogo Clínico / Reclutador / Desarrollo / Logística</t>
  </si>
  <si>
    <t>Nihar Parikh</t>
  </si>
  <si>
    <t>https://lnkd.in/p/gZrxdVTs</t>
  </si>
  <si>
    <t>Nakary Mendoza • 1st Psicólogo Clínico / Reclutador / Desarrollo / Logística 2w • Ayer tuve el placer de impartir a los chicos de AVAA Valencia el taller sobre Actualidad en Vacantes Web y LinkedIn de la mano de la fundación de KPMG Venezuela. Compartimos herramientas y recomendaciones para fortalecer la búsqueda de empleo y potenciar la presencia profesional en LinkedIn. ¡Gracias a todos por participar, seguimos construyendo juntos! 🚀 #LinkedIn #Empleabilidad #DesarrolloProfesional #AVAA #Valencia #FundacionKPMG … more Show translation +2 20 reactions 20 1 comment 1 comment</t>
  </si>
  <si>
    <t>software @ later, building @ proveit, cs @ sfu</t>
  </si>
  <si>
    <t>https://lnkd.in/p/gk384mBS</t>
  </si>
  <si>
    <t>Sanchit Jain • 1st software @ later, building @ proveit, cs @ sfu 2w • Yesterday, I wrote about how the kid who over-engineered a Mars Rover grew up and over-engineered a startup. Tomorrow, ProveIt's beta opens. The product is finally at the point where a recruiter can create an assessment, invite a candidate, and review their work across programming, system design, and code review. But I need to be honest about the part that code cannot fix. We still don't have enough paying customers. Some people told us they were willing to pay. Others filled out our form and seemed like strong pr</t>
  </si>
  <si>
    <t>Roberto Navarro</t>
  </si>
  <si>
    <t>https://lnkd.in/p/g6q9Prsy</t>
  </si>
  <si>
    <t>Leonardo Manotas Garcés • 1st Head Hunter | Outplacement | Franquicias View my services 2w • Cada mes que pasas 'puliendo el perfil de LinkedIn' en vez de ejecutar un plan, tiene un costo emocional, financiero, profesional y hasta de salud ¿Por qué? Porque el tiempo genera dudas, deudas, pérdida de autoestima y en algunos casos, en personas estancadas, generan costumbre y confort a cargos mediocres Recuerda que "estar en la lucha", aquí "en búsqueda activa" o "intentando emplearme" NO ES: - Pulir el Linkedin - Entrenarte para entrevistas - Buscar vacantes - Mandar a alguien a arregl</t>
  </si>
  <si>
    <t>SEO Expert | Guest Post &amp; Outreach Specialist at Self-employed</t>
  </si>
  <si>
    <t>https://lnkd.in/p/g7azybKJ</t>
  </si>
  <si>
    <t>Anais Aristigueta</t>
  </si>
  <si>
    <t>Muhammad Ali • 1st SEO Expert | Guest Post &amp; Outreach Specialist at Self-employed 2w • I’ve been on LinkedIn for the past 2 years, but honestly, I never took it seriously. I’ve now deleted all my previous posts because I decided to start from zero. I want to build valuable content, share my real case studies with you, and deliver whatever I’ve learned through my experience. That’s why I’ve decided to take a 90-day challenge. For the next 90 days, I’ll share 1 valuable post every day content that I hope will actually help you. My audience will mainly be: → SEO Agencies → SEO Consul</t>
  </si>
  <si>
    <t>https://lnkd.in/p/gM_dZJgB</t>
  </si>
  <si>
    <t>BelisariosCorpTech . • 1st CEO 2w • "PORTÁTILES 100% NUEVAS IDEALES PARA TÚ EMPRESA " "APROVECHA NUESTRAS PROMOCIONES"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
  </si>
  <si>
    <t>https://lnkd.in/p/gTutfeZp</t>
  </si>
  <si>
    <t>Raul Montalvo • 1st Consigo que tu empresa venda más diferenciándote - LinkedIn TopVoice - CEO @esmartia - Mentor - Inbound Marketing - IA para B2B - Marketing de Contenidos - B2B - Estrategia digital - CRM - A la caza de vendehumos View my newsletter 2w • La mayor tabaquera del mundo tiene un anuncio en LinkedIn hablando de customer care 😂😂😂 Suena a colmo de un colmo. O un me rio en tu cara, es como si en un anuncio de Ballantine's se dijese "conservando tu hígado como ningún otro". Pero es que no acababa ahí. Desarrollando un mundo sin humo... es como el colmo de la hipocre</t>
  </si>
  <si>
    <t>Especialista en Marketing Digital &amp; IA | Paid Media · Email Marketing · Funnels | Comunicación Corporativa &amp; Brand Strategy | +8 años | Barcelona</t>
  </si>
  <si>
    <t>https://lnkd.in/p/gtARUn4f</t>
  </si>
  <si>
    <t>Andreina Camara • 1st Especialista en Marketing Digital &amp; IA | Paid Media · Email Marketing · Funnels | Comunicación Corporativa &amp; Brand Strategy | +8 años | Barcelona 1w • Poco se habla de que en LinkedIn todo el mundo parece tener clarísimo lo que está haciendo. Estrategia. Liderazgo. Propósito. Marca personal. Productividad. Éxito. 🚀🚀🚀 Y luego cierras LinkedIn, abres el portátil y piensas: “Bueno… ¿por dónde empiezo?” 😂 Creo que hay una parte del mundo profesional que no enseñamos suficiente: La de estar aprendiendo. La de cambiar de opinión. La de probar algo y que no funcione</t>
  </si>
  <si>
    <t>https://lnkd.in/p/gjfBRZ_S</t>
  </si>
  <si>
    <t>Angel Méndez</t>
  </si>
  <si>
    <t>Deisa González • 1st Deisa González: Director en Miradas Empresariales / Consultor empresarial / Psicóloga FPV: 4532. Magíster en Relaciones industriales y laborales . 2w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del</t>
  </si>
  <si>
    <t>Talent Acquisition Partner | Hiring Recruiters, Sales &amp; Early Talent for Green Key Resources</t>
  </si>
  <si>
    <t>https://lnkd.in/p/gCqVcbJU</t>
  </si>
  <si>
    <t>Samantha Turek • 1st Talent Acquisition Partner | Hiring Recruiters, Sales &amp; Early Talent for Green Key Resources 2w • Edited • Happy Friday🤩 One of our last Summer Fridays is here, which means I’m logging off a little early today! But before I do… Green Key Resources is continuing to grow. We’re hiring experienced recruiters across the U.S., with hybrid opportunities in NYC/NJ + remote roles nationally. ✨ 180 Recruiters ✨ 270/360 Recruiters Across: • Technology • Sales &amp; Marketing • Architecture / Engineering / Construction • Professional Services / Legal • Life Sciences</t>
  </si>
  <si>
    <t>https://lnkd.in/p/gpTGEkHn</t>
  </si>
  <si>
    <t>BelisariosCorpTech . • 1st CEO 2w • "TODA LA INFRAESTRUCTURA DE RED QUE NECESITA TÚ ORGANIZACIÓN" Somos BelisariosCorpTech, "Una organización cuyo modelo de negocio exponencial le permite empoderar gente, empresas e impulsar el desarrollo de la actividad económica nacional. DISPONIBILIDAD INMEDIATA EN: "Servidores(DL360,DL380,R360, R760xs, R360, r660xs, R570) laptops (Hp, Lenovo, dell, Gateway, apple , Acer, Asus, msi) switches (24-48Ports) Monitores, Impresoras, storage Powervoult ME5012 y otros en líneas generales, Radios Intrìnsecamente seguros, Video Beams, Pc, all in one, centra</t>
  </si>
  <si>
    <t>Senior HR Specialist &amp; HR Development| Clinical Psychologist (CBT) Talent Acquisition at Teltonika IoT Group | SAP SuccessFactors | Workable | Tech &amp; IoT | Bilingual ES-EN</t>
  </si>
  <si>
    <t>https://lnkd.in/p/gxHYBfti</t>
  </si>
  <si>
    <t>Mhailing López • 1st Senior HR Specialist &amp; HR Development| Clinical Psychologist (CBT) Talent Acquisition at Teltonika IoT Group | SAP SuccessFactors | Workable | Tech &amp; IoT | Bilingual ES-EN 2w • Just finished the course “Learning LinkedIn Sales Navigator” by Rosalia Cardenas! Check it out: https://lnkd.in/evabHQRS #linkedinsalesnavigator. Certificate of Completion Certificate of Completion linkedin.com 4 reactions 4 Like Comment Repost Send</t>
  </si>
  <si>
    <t>I Build Accelerators, Investment Vehicles &amp; Summits for Media Innovation | Founder @ Media Party | AI + Journalism + Information Integrity</t>
  </si>
  <si>
    <t>https://lnkd.in/p/gHFfMnQU</t>
  </si>
  <si>
    <t>Mariano Blejman • 1st I Build Accelerators, Investment Vehicles &amp; Summits for Media Innovation | Founder @ Media Party | AI + Journalism + Information Integrity 2w • Tengo una duda, la gente que tiene audiencias en dos idiomas, tiene alguna estrategia particular en Linkedin? Show translation 1 reaction 1 Like Comment Repost Send</t>
  </si>
  <si>
    <t>Crea tu Cuadro de Mando con Power BI y conviértete en la persona en la que tu empresa confía para decidir | Consultor, Formador y Mentor | +300 proyectos | Autor libro Impacta con Power BI</t>
  </si>
  <si>
    <t>https://lnkd.in/p/gh_WEZkS</t>
  </si>
  <si>
    <t>Salvador Ramos Lopez • 1st Crea tu Cuadro de Mando con Power BI y conviértete en la persona en la que tu empresa confía para decidir | Consultor, Formador y Mentor | +300 proyectos | Autor libro Impacta con Power BI Visit my website 2w • Cuando me siento delante del Cuadro de Mando de alguien, lo primero que miro no son los gráficos. Es el reloj. Cuento diez segundos. Si en diez segundos no sé si el mes va bien o mal, y cuánto nos estamos desviando, ya sé por dónde va a ir la conversación. Y no es porque esté mal hecho. Casi nunca lo está. Llevo más de 300 proyectos de BI y te</t>
  </si>
  <si>
    <t>https://lnkd.in/p/gDjfTBMg</t>
  </si>
  <si>
    <t>Amarilis Gonzalez • 1st I turn senior and C-Level careers into positioning that generates roles, authority or clients in 2 weeks | VÉRTICE Method | Spanish-speaking executives in the US, LATAM &amp; Spain | 400+ repositioned 2w • Todos los Recursos para tu Marca Personal en LinkedIn (+120 ) El sistema para profesionales, asesores, consultores y empresarios que quieren utilizar LinkedIn para posicionarse, ganar autoridad y convertir su experiencia en oportunidades de negocio. ❌ No se trata de publicar todos los días. ❌ No necesitas convertirte en influencer. ❌ Tampoco necesitas miles de</t>
  </si>
  <si>
    <t>https://lnkd.in/p/gkxQgwk6</t>
  </si>
  <si>
    <t>BelisariosCorpTech . • 1st CEO 2w • "IMPRESORAS DE ÚLTIMA GENERACIÓN Y GRAN FORMATO A TÚ DISPOSICIÓN" Somos BelisariosCorpTech, "Una organización cuyo modelo de negocio exponencial le permite empoderar gente, empresas e impulsar el desarrollo de la actividad económica nacional. (INFRAESTRUCTURA TECNOLÓGICA EMPRESARIAL) "Servidores(DL360,DL380,R540, R760xs, r660xs, Ml110, Ml30) laptops (Hp, Lenovo, dell, Gateway, apple , Acer, Asus, msi) switches (24-48Ports) Monitores, Impresoras, storage Powervoult ME5012 y otros en líneas generales, Radios Intrìnsecamente seguros, Video Beams, Pc,</t>
  </si>
  <si>
    <t>https://lnkd.in/p/gfuQeAWC</t>
  </si>
  <si>
    <t>Kishalaya Mukhopadhyay • 1st Marketing Data Science | Analytics | Growth | Marketing - Science, Measurement &amp; Effectiveness | Proud Cat Parent View my services 2w • Edited • Honest question: does being from an "Ivy League" institute give one the right to be dismissive/condescending towards others? I have seen this trend on LinkedIn - use of words like "stupid", "dumb", "horseshit" and their many variants during conversations. There are some very senior (and sometimes not so senior but somewhat famous) industry leaders, whose opinions I respect, but who seem to be terribly impatient</t>
  </si>
  <si>
    <t>https://lnkd.in/p/gYGUKRiU</t>
  </si>
  <si>
    <t>Raul Montalvo • 1st Consigo que tu empresa venda más diferenciándote - LinkedIn TopVoice - CEO @esmartia - Mentor - Inbound Marketing - IA para B2B - Marketing de Contenidos - B2B - Estrategia digital - CRM - A la caza de vendehumos View my newsletter 2w • No tengo ni p**a idea de que es un agente. Repítelo y no te sientas solo. Pero oye, tengo 1215 guardados en mi carpeta de agentes. Esa que cuelga de IA. En otra tengo 3246 prompts que, por supuesto, no he usado nunca. Las infografías son 4432 pero solo porque la IA llegó después. Manuales, videos, enlaces a sitios desaparecidos</t>
  </si>
  <si>
    <t>https://lnkd.in/p/gZgGRZs9</t>
  </si>
  <si>
    <t>Claudio Cavezzali • 1st Marketing Strategist with a Bachelor’s Degree and MS in Marketing | Strategic Growth Leader | CMO at Consultoría MKT® Visit my website 2w • Llenar una presentación de clics, impresiones y "alcance" no es justificar una inversión comercial; es maquillar la falta de tracción en el P&amp;L. 📊🏛️💼 En la mayoría de las salas de juntas se repite la misma escena: el área de marketing presenta métricas de vanidad que celebran millones de impactos, mientras el comité directivo y el CFO observan con escepticismo cómo esas cifras no mueven el flujo de caja ni el margen net</t>
  </si>
  <si>
    <t>https://lnkd.in/p/gBXcn9H8</t>
  </si>
  <si>
    <t>Amarilis Gonzalez • 1st I turn senior and C-Level careers into positioning that generates roles, authority or clients in 2 weeks | VÉRTICE Method | Spanish-speaking executives in the US, LATAM &amp; Spain | 400+ repositioned 2w • Casi el 70% de los 2.550 CVs de profesionales senior que analicé repetían los mismos errores. Errores que hacen que perfiles con una trayectoria sólida parezcan menos competitivos de lo que realmente son. Profesionales con años de experiencia, resultados importantes y capacidad para asumir posiciones de alto nivel estaban comunicando su valor de una forma que de</t>
  </si>
  <si>
    <t>https://lnkd.in/p/gNQ7HdrS</t>
  </si>
  <si>
    <t>BelisariosCorpTech . • 1st CEO 2w • "CONTÁCTANOS Y ADQUIERE A TIEMPO LOS DISPOSITIVOS TECNOLÓGICOS QUE NECESITA TÚ EMPRESA" Somos BelisariosCorpTech, "Una organización cuyo modelo de negocio exponencial le permite empoderar gente, empresas e impulsar el desarrollo de la actividad económica nacional. (INFRAESTRUCTURA TECNOLÓGICA EMPRESARIAL) "Servidores(DL360,DL380,R540, R760xs, r660xs, Ml110, Ml30) laptops (Hp, Lenovo, dell, Gateway, apple , Acer, Asus, msi) switches (24-48Ports) Monitores, Impresoras, storage Powervoult ME5012 y otros en líneas generales, Radios Intrìnsecamente segu</t>
  </si>
  <si>
    <t>BI &amp; Data Analyst | Applied AI &amp; Automation Specialist | SQL • Power BI • Python | LATAM / Remote</t>
  </si>
  <si>
    <t>https://lnkd.in/p/g27CSECc</t>
  </si>
  <si>
    <t>Etlin Ortega • 1st BI &amp; Data Analyst | Applied AI &amp; Automation Specialist | SQL • Power BI • Python | LATAM / Remote 2w • LinkedIn ya no premia que publiques. Premia que alguien se quede leyendo. Llevo unas semanas revisando reportes recientes sobre el algoritmo de LinkedIn en 2026, y confirman algo que ya sentía de forma anecdótica: el "dwell time", cuánto tiempo se queda alguien leyendo tu publicación, pesa más que los likes. Y el contenido que se nota genérico, o escrito sin criterio propio, pierde alcance de forma notable. No es una sorpresa. Es la versión algorítmica de algo que</t>
  </si>
  <si>
    <t>https://lnkd.in/p/g9jBy9Gs</t>
  </si>
  <si>
    <t>Natalia Montolio • 1st ¿Problemas con tus ventas? +12 años resolviéndolos · LinkedIn · Sales Navigator · ChatGPT · Claude aplicados a VENTAS · Ingeniera Industrial Book an appointment 2w • Edited • 🤔 ¿Te salen posts de hace tres semanas? Es porque LinkedIn por defecto te ordena el feed por lo que él considera “relevante”, no por lo más nuevo. Por eso a veces te cuela publicaciones viejas. Si quieres ver lo más reciente 👇 En la página de inicio, arriba del todo, tmuy muy pequeño, pone "Seleccionar Vista del feed", ahí puedes escoger para que el feed te muestre lo que está pasand</t>
  </si>
  <si>
    <t>https://lnkd.in/p/grF8Chsq</t>
  </si>
  <si>
    <t>Zargaam U. • 1st Driving Digital Transformation &amp; Revenue Growth for Tech Companies | B2B SaaS &amp; IT Services Expert | Enterprise Account Management | Sales Automation &amp; GTM Strategy 2w • There are many things I value about a career in sales, but travelling is certainly near the top of the list. ✈️ Sales has taken me far beyond meeting targets. It has taken me into new markets, cultures, industries and business environments, and each one has shaped the way I think about customers, relationships and growth. So far, I’ve had the opportunity to travel to 𝟭𝟳 𝗰𝗼𝘂𝗻𝘁𝗿𝗶𝗲𝘀. One les</t>
  </si>
  <si>
    <t>3w</t>
  </si>
  <si>
    <t>https://lnkd.in/p/gSpxBzDQ</t>
  </si>
  <si>
    <t>Álvaro Peña de Luna • 1st coCEO, Head of SEO e IA de iSocialWeb, Growwer, Mencoro.com y Vuela.ai🎙️Podcaster de IA en El Test de Turing 3w • 🔬 BULO SEO: Google no te cuenta la mayoría de sus cambios. Y acaba de decir que lo hace por tu bien. No es una interpretación mía. Es una cita literal de John Mueller de la semana pasada. Y el marcador de este verano lo deja claro: seis movimientos sin confirmar contra una sola actualización anunciada. Si tu proceso solo se activa cuando Google confirma, has ignorado seis de cada siete cambios que te han pasado por encima. Lo que pasó Eli Sc</t>
  </si>
  <si>
    <t>https://lnkd.in/p/g-c6cZzM</t>
  </si>
  <si>
    <t>Direct &amp; New Channels Sales Executive | Ventas B2B, SaaS y Prospección Outbound con enfoque humano | Estrategia y Generación de Demanda LATAM</t>
  </si>
  <si>
    <t>https://lnkd.in/p/gfRHwvBx</t>
  </si>
  <si>
    <t>Diana Hernández • 1st Direct &amp; New Channels Sales Executive | Ventas B2B, SaaS y Prospección Outbound con enfoque humano | Estrategia y Generación de Demanda LATAM 3w • No aprendí a vivir a medias. Si algún día escribiera un libro sobre mi vida, creo que empezaría así: “Hay personas que llegan a una habitación y simplemente están. Diana llega y algo se mueve.” Durante años pensé que mi mayor talento estaba en vender. Prospectar. Negociar. Crear oportunidades. Construir relaciones. Cerrar negocios. Y sí. Todo eso lo sé hacer. Pero con el tiempo entendí algo mucho más importante:</t>
  </si>
  <si>
    <t>https://lnkd.in/p/g8gYmrJ9</t>
  </si>
  <si>
    <t>BelisariosCorpTech . • 1st CEO 3w • EQUIPOS 100% NUEVOS CON 2 AÑOS DE GARANTÍA.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seguros, Video Beams, Pc,</t>
  </si>
  <si>
    <t>https://lnkd.in/p/gjuzsZd7</t>
  </si>
  <si>
    <t>Natalia Montolio • 1st ¿Problemas con tus ventas? +12 años resolviéndolos · LinkedIn · Sales Navigator · ChatGPT · Claude aplicados a VENTAS · Ingeniera Industrial Book an appointment 3w • Edited • Hablar de lo que haces te aleja del cliente.💤😴 Hablar de lo que consigue, te acerca.😍🏹 Hay una fórmula muy simple que usan las grandes marcas: 𝗖𝗼𝗻𝘀𝗶𝗴𝘂𝗲 𝗫 𝗰𝗼𝗻 𝗲𝘀𝗳𝘂𝗲𝗿𝘇𝗼 𝗬 𝗴𝗿𝗮𝗰𝗶𝗮𝘀 𝗮 𝗭. 🎧 Consigue escuchar la música que te gusta eligiendo tus artistas favoritos gracias a Spotify. 🥤 Consigue energía al instante gracias al Red Bull. Red Bull te da alas. ���</t>
  </si>
  <si>
    <t>Digital Analytics &amp; Paid Media Specialist • Google &amp; Meta Certified • Columnist &amp; Speaker • Doer</t>
  </si>
  <si>
    <t>https://lnkd.in/p/g5ZvWfQa</t>
  </si>
  <si>
    <t>Angel Méndez • 1st Digital Analytics &amp; Paid Media Specialist • Google &amp; Meta Certified • Columnist &amp; Speaker • Doer 3w • LinkedIn says 1M people have reported AI slop Social Media News | Social Media Today Social Media News | Social Media Today socialmediatoday.com Like Comment Repost Send</t>
  </si>
  <si>
    <t>Head of People &amp; Organizational Development | Employee Experience &amp; Organizational Wellbeing | HR Business Partner | Talent Strategy, Engagement &amp; Performance</t>
  </si>
  <si>
    <t>https://lnkd.in/p/g9QtRbGe</t>
  </si>
  <si>
    <t>Julio Cesar Torres • 1st Head of People &amp; Organizational Development | Employee Experience &amp; Organizational Wellbeing | HR Business Partner | Talent Strategy, Engagement &amp; Performance 3w • Ayer cerramos una etapa. Y qué etapa. 🇻🇪 Finalizó la Fase II del Concurso Ideas 2026 y me quedo con muchísimo más que conocimientos. Me quedo con herramientas para cuestionar, fortalecer y transformar una idea en un proyecto mucho más sólido. Gracias a Fundación Ideas, al IESA, a los profesores, expertos y a todo el equipo que hizo posible estos días de aprendizaje, intercambio y construcción.</t>
  </si>
  <si>
    <t>Podcast Marketing &amp; Growth Specialist | Podcast Audience Development | Spotify &amp; Apple Podcasts Growth | Podcast SEO &amp; Promotion | 100+ Podcasts Supported</t>
  </si>
  <si>
    <t>https://lnkd.in/p/gvAypYWY</t>
  </si>
  <si>
    <t>Sahed Mhamud • 1st Podcast Marketing &amp; Growth Specialist | Podcast Audience Development | Spotify &amp; Apple Podcasts Growth | Podcast SEO &amp; Promotion | 100+ Podcasts Supported Book an appointment 3w • 🎙️ I’ve created something for podcast creators. If you’re a podcast host, creator, producer, or marketer, you already know that creating great content is only half the battle. The bigger challenge is often: 📈 Getting your podcast discovered 🎧 Reaching the right listeners 🔎 Improving Spotify &amp; Apple Podcasts visibility 📱 Turning social media attention into actual listeners 📊 Unders</t>
  </si>
  <si>
    <t>Consultor Empresarial</t>
  </si>
  <si>
    <t>https://lnkd.in/p/gK7Te5v2</t>
  </si>
  <si>
    <t>Asdrubal R. Oliveros P. • 1st Consultor Empresarial View my services 1w • En medio de tanto ruido, trato de que mi Substack sea un espacio para detenerme, ordenar las ideas y analizar con más profundidad los temas que están marcando la economía y los negocios, especialmente en Venezuela. Allí escribo sobre coyuntura económica, empresas, petróleo, tecnología, inteligencia artificial y los cambios que están transformando la manera de invertir, producir y tomar decisiones. Mi objetivo no es simplemente comentar las noticias, sino entender qué hay detrás de ellas y, sobre todo, cuáles pu</t>
  </si>
  <si>
    <t>IT Recruiter | Sourcer | HeadHunter | Talent Adquisition | Reclutador | Selección</t>
  </si>
  <si>
    <t>https://lnkd.in/p/g25QDY7W</t>
  </si>
  <si>
    <t>Vanessa Brito Montilla • 1st IT Recruiter | Sourcer | HeadHunter | Talent Adquisition | Reclutador | Selección View my services 3w • 𝐄𝐥 𝐦𝐚𝐲𝐨𝐫 𝐞𝐫𝐫𝐨𝐫 𝐪𝐮𝐞 𝐯𝐞𝐨 𝐞𝐧 𝐜𝐚𝐧𝐝𝐢𝐝𝐚𝐭𝐨𝐬 𝐜𝐚𝐩𝐚𝐜𝐢𝐭𝐚𝐝𝐨𝐬: 𝐞𝐬𝐩𝐞𝐫𝐚𝐫 𝐚 𝐪𝐮𝐞 𝐥𝐥𝐞𝐠𝐮𝐞 𝐥𝐚 𝐨𝐩𝐨𝐫𝐭𝐮𝐧𝐢𝐝𝐚𝐝 𝐩𝐚𝐫𝐚 𝐞𝐦𝐩𝐞𝐳𝐚𝐫 𝐚 𝐩𝐫𝐞𝐩𝐚𝐫𝐚𝐫𝐬𝐞. Solemos decir que la "suerte" es cuando la preparación se encuentra con la oportunidad, pero en el ecosistema remoto veo constantemente perfiles increíbles quedar fuera por detalles que eran 100% evitables. Aquí 4 "golpes de realidad" sobre lo que si</t>
  </si>
  <si>
    <t>https://lnkd.in/p/gWiewKyr</t>
  </si>
  <si>
    <t>Amarilis Gonzalez • 1st I turn senior and C-Level careers into positioning that generates roles, authority or clients in 2 weeks | VÉRTICE Method | Spanish-speaking executives in the US, LATAM &amp; Spain | 400+ repositioned 1w • Un video con 500.000 likes te dice que un prompt consigue 3 entrevistas en 24 horas ¿es cierto o es humo? Dime la verdad, ¿Tú lo crees realmente cierto?. Lo he visto recientemente tanto en esta red como en otras plataformas, con cientos de miles de comentarios y likes. Aquí te cuento la verdad detrás de estos videos virales. ✅Lo que sí es cierto Puedes usar I</t>
  </si>
  <si>
    <t>https://lnkd.in/p/g53-9XXb</t>
  </si>
  <si>
    <t>BelisariosCorpTech . • 1st CEO 3w • "TODA LA INFRAESTRUCTURA DE RED QUE NECESITA TÚ ORGANIZACIÓN" El núcleo de esta configuración es el switch Dell EMC Networking S5248F-ON, una plataforma abierta de alto rendimiento que destaca por sus 48 puertos nativos de 25GbE (SFP28), complementados con 4 puertos de 100GbE (QSFP28) y 2 puertos de 100GbE (QSFP-DD) para enlaces ascendentes de gran ancho de banda. Somos BelisariosCorpTech, "Una organización cuyo modelo de negocio exponencial le permite empoderar gente, empresas e impulsar el desarrollo de la actividad económica nacional. DISPONIBILI</t>
  </si>
  <si>
    <t>https://lnkd.in/p/g9gRGSrB</t>
  </si>
  <si>
    <t>Mariam Veiga • 1st Marca personal como fuerza comercial | Para directivos y emprendedores que quieren que su nombre abra puertas y genere oportunidades de negocio | +750 proyectos Book an appointment 3w • [A VECES PASA 👉] El día en el que alguien hace clic en "Concertar una cita". También puedes recibir un DM. Un mensaje privado, vaya. O alguien te envía un correo electrónico. O recibes una petición a través del formulario que tenéis en la web. Y entonces empieza el baile de atribuir méritos. Que si vino de tu perfil de LinkedIn. O por la última campaña que habéis lanzado. O de tu</t>
  </si>
  <si>
    <t>We build, employ &amp; operate LATAM tech teams for US companies | +1,500+ hires | +40,000+ vetted profiles | Founder &amp; CEO @ HireIn Cloud ☁️ | Cross-border hiring &amp; AI talent 🤖</t>
  </si>
  <si>
    <t>https://lnkd.in/p/gATZbDKK</t>
  </si>
  <si>
    <t>Heber Carrizales • 1st We build, employ &amp; operate LATAM tech teams for US companies | +1,500+ hires | +40,000+ vetted profiles | Founder &amp; CEO @ HireIn Cloud ☁️ | Cross-border hiring &amp; AI talent 🤖 View my services 3w • Un solo recruiter nuestro ya opera como si fueran 10 🤖 No porque trabaje más rápido; es porque llevamos seis años construyendo esto. En HireIn Cloud ☁️ somos una HR tech, y la plataforma siempre estuvo en el plan. Empezamos a construirla en 2020, con una idea clara de lo que queríamos: un sistema que entendiera perfiles como los entiende un recruiter senior. En 202</t>
  </si>
  <si>
    <t>https://lnkd.in/p/gbYsR-zQ</t>
  </si>
  <si>
    <t>Amarilis Gonzalez • 1st I turn senior and C-Level careers into positioning that generates roles, authority or clients in 2 weeks | VÉRTICE Method | Spanish-speaking executives in the US, LATAM &amp; Spain | 400+ repositioned 3w • Hice que Claude analizara 2.550 currículums de profesionales senior, y encontré patrones que se repiten una y otra vez en los perfiles que SI consiguen algo fundamental: pasar los filtros ATS, comunicar su valor con claridad y llegar mejor posicionados a un reclutador. No me interesaba saber qué CV se veía más bonito, sino entender qué había detrás de los currí</t>
  </si>
  <si>
    <t>https://lnkd.in/p/gKUQ8C_5</t>
  </si>
  <si>
    <t>Monika Saleta, DrBA • 1st #1 Talent Sourcer - Ad-Hoc &amp; Embedded ● No recruitment agencies. No high fees. No job boards. Top 1% candidates in 7 days for any role or location ● monikasaleta.com + hi@monikasaleta.com 3w • 🔥 HIRING ● UX/UI designer ● Remote European Union 🎯 UX/UI designer 🎯 WORK MODE: Remote European Union 🎯 COMPANY SIZE: 11-50 🎯 COMPANY HQ LOCATION: Germany ⭐ SKILLS OF A PERFECT CANDIDATE ✔️ At least 2+ years of experience in digital product design (UX/UI) ✔️ Strong skills in Figma (components, prototyping, reusability) and FigJam or other whiteboard tools ✔️ Fa</t>
  </si>
  <si>
    <t>https://lnkd.in/p/gAaVgQBT</t>
  </si>
  <si>
    <t>BelisariosCorpTech . • 1st CEO 3w • "TODA LA INFRAESTRUCTURA TECNOLÓGICA QUE NECESITA TÚ EMPRESA"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seguros,</t>
  </si>
  <si>
    <t>https://lnkd.in/p/gYMD9Ze5</t>
  </si>
  <si>
    <t>Ricardo Rincón • 1st Tech lead BI en CrossPoint 365 / Microsoft MVP Data Platform / Creador en Bitodata (YT) / CoAdmin @PowerBiEspanol en Telegram, Co-Presentador del Power BI Quizz en Español Visit my website 3w • Mañana a las 17 horas (Hora de España) tienes una cita con el único e irrepetible Miguel Egea Gómez , que nos presenta su última creación, un servidor MCP para hacer Deploy en Fabric y Power BI con la IA de tu preferencia, y no sólo nos viene a contar para que sirve o como se utiliza, sino también, como lo construyó, como puedes hacer tu mism@ tu propio server MCP, o cualqu</t>
  </si>
  <si>
    <t>Managing Director at Eskimoz Spain 🇪🇸 | Global Search Agency</t>
  </si>
  <si>
    <t>https://lnkd.in/p/gfw6G6yH</t>
  </si>
  <si>
    <t>Maxence Marius • 1st Managing Director at Eskimoz Spain 🇪🇸 | Global Search Agency Book an appointment 3w • Edited • 💡 El hashtag que pones en un post de LinkedIn no es solo decoración: se convierte en parte de la URL. Chris Long lo compartió en su newsletter recogiendo un dato de Brooke Weller, estratega de búsqueda con IA en LinkedIn, dentro de una guía que ella misma desarrolló. La idea es simple: los hashtags de una publicación se insertan directamente en el slug de la URL. ❄️ Hasta ahora muchos elegían hashtags solo por alcance o por costumbre, sin pensar en lo que eso genera</t>
  </si>
  <si>
    <t>AI &amp; Data Architect — Building AI-Driven Products with LLMs, RAG &amp; Multi-Agent Systems — Advisor &amp; Tech Lead — From PoCs to Production</t>
  </si>
  <si>
    <t>https://lnkd.in/p/g4tUNyAJ</t>
  </si>
  <si>
    <t>Rodolfo Barbosa • 1st AI &amp; Data Architect — Building AI-Driven Products with LLMs, RAG &amp; Multi-Agent Systems — Advisor &amp; Tech Lead — From PoCs to Production 3w • 🚨 ALÔ, BH! Tem vaga na área !🚨 Estou ajudando um amigo a encontrar um Analista de BI Pleno/Sênior com experiência em Qlik para uma vaga interna. 📍 Local: Belo Horizonte (BH) 🏢 Modelo: Híbrido (2x por semana) 📄 Contrato: Tempo indeterminado ❌ Não é projeto. É oportunidade para fazer parte do time. Se você conhece alguém que manda bem com Qlik, ou está buscando um novo desafio, essa pode ser a oportunidade. 📩 Mande o Lin</t>
  </si>
  <si>
    <t>Socio Gerente en SeaMan SRL</t>
  </si>
  <si>
    <t>https://lnkd.in/p/gpqq9ufn</t>
  </si>
  <si>
    <t>Fernando P. Maniglia • 1st Socio Gerente en SeaMan SRL 3w • Edited • Muy seguido me contactan por privado con ofertas del tipo: “Hacemos crecer tu negocio”, “Te conseguimos clientes”, “Te ayudamos a entrar en nuevos mercados”. Es posible que alguno sea realmente bueno. Pero la mayoría de los que probamos en algún momento no lo fueron, y después incluso conocimos prácticas bastante poco dignas. Una de ellas es presentar como potenciales clientes a contactos propios dentro de empresas importantes. La empresa existe, la persona existe, el cargo existe y hasta se concreta la reunión. Cuan</t>
  </si>
  <si>
    <t>https://lnkd.in/p/g5k2rA6X</t>
  </si>
  <si>
    <t>Monika Saleta, DrBA • 1st #1 Talent Sourcer - Ad-Hoc &amp; Embedded ● No recruitment agencies. No high fees. No job boards. Top 1% candidates in 7 days for any role or location ● monikasaleta.com + hi@monikasaleta.com 3w • 🔥 HIRING ● Junior Product Support Specialist (Crypto) ● Remote USA 🎯 Junior Product Support Specialist (Crypto) 🎯 WORK MODE: Remote USA 🎯 COMPANY SIZE: 101-200 🎯 COMPANY HQ LOCATION: San Jose, CA ⭐ SKILLS OF A PERFECT CANDIDATE: ✔️ Higher education or student status (preferred fields: economics, finance and accounting, econometrics), ✔️ Basic knowledge</t>
  </si>
  <si>
    <t>Vivo de crear contenido en @brodymedinas 📱 | A veces también le enseño a las marcas cómo hacerlo</t>
  </si>
  <si>
    <t>https://lnkd.in/p/ge-s-kUv</t>
  </si>
  <si>
    <t>Andres Medina Samano • 1st Vivo de crear contenido en @brodymedinas 📱 | A veces también le enseño a las marcas cómo hacerlo 3w • Un mismo video me generó +1,050,000 views y 3,254 seguidores nuevos Y sí, se viralizó cada que lo subí a trial reels Te dejo las fotos de evidencia aquí abajo 💁🏻‍♂️ Sé que esto es LinkedIn y probablemente debería estar hablando de B2B, SaaS y poner una gráfica con flechas pero me vale madres. Hoy voy a hablarte de lo importante que es Instagram si quieres crecer tu marca personal o la de tu negocio 🫡 Hace poco hice un video (que por cierto me tomo 1</t>
  </si>
  <si>
    <t>Recruiter | Talent Acquisition LATAM</t>
  </si>
  <si>
    <t>https://lnkd.in/p/gshBbU7v</t>
  </si>
  <si>
    <t>Antonella Ojuez • 1st Recruiter | Talent Acquisition LATAM 3w • 🎬 We’re looking for a Part-Time Video Editor / Filmmaker! At South, we’re looking for a creative Video Editor / Filmmaker based in Buenos Aires, Argentina 🇦🇷 to join us in a flexible, part-time engagement. We’re looking for someone who enjoys creating dynamic, engaging short-form content and understands what makes a video stand out across different social media platforms. ✨ What we’re looking for: -Experience editing short-form content for Instagram, TikTok, LinkedIn &amp; YouTube -Strong skills in Adobe Premiere Pro or</t>
  </si>
  <si>
    <t>Executive Search Partner | Pharma &amp; Biotech</t>
  </si>
  <si>
    <t>https://lnkd.in/p/g8KYqDZu</t>
  </si>
  <si>
    <t>Nihar Parikh • 1st Executive Search Partner | Pharma &amp; Biotech 3w • https://lnkd.in/gNAf9WZh LinkedIn Has Accidentally Become a Dating Site—Despite Its No-Romance Rules LinkedIn Has Accidentally Become a Dating Site—Despite Its No-Romance Rules wsj.com 1 reaction 1 Like Comment Repost Send</t>
  </si>
  <si>
    <t>https://lnkd.in/p/ga7fWRpm</t>
  </si>
  <si>
    <t>BelisariosCorpTech . • 1st CEO 3w • "IMPRESORAS DE PEQUEÑO Y GRAN FORMATO IDEALES PARA TÚ NEGOCIO"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seguros</t>
  </si>
  <si>
    <t>https://lnkd.in/p/g7D_Ku6P</t>
  </si>
  <si>
    <t>Monika Saleta, DrBA • 1st #1 Talent Sourcer - Ad-Hoc &amp; Embedded ● No recruitment agencies. No high fees. No job boards. Top 1% candidates in 7 days for any role or location ● monikasaleta.com + hi@monikasaleta.com 3w • 🔥 HIRING ● Senior Data Engineer ● Remote European Union 🎯 Senior Data Engineer 🎯 WORK MODE: Remote European Union 🎯 COMPANY SIZE: 51-100 🎯 COMPANY HQ LOCATION: Poland ⭐ SKILLS OF A PERFECT CANDIDATE ✔️ Strong command of SQL ✔️ Hands-on experience with DBT for data transformation and pipeline automation ✔️ Enthusiasm for AWS technologies ✔️ AWS Certified Associate</t>
  </si>
  <si>
    <t>https://lnkd.in/p/gDh8DjRd</t>
  </si>
  <si>
    <t>Mariam Veiga • 1st Marca personal como fuerza comercial | Para directivos y emprendedores que quieren que su nombre abra puertas y genere oportunidades de negocio | +750 proyectos Book an appointment 3w • Edited • ⛔ Cuando lo que te frena es el miedo a convertirte en lo que te espanta ↓ Piensa en todos las CEOs, empresarias y directivos que están aquí, en LinkedIn, pero no abren la boca. Ni mu. Pero miran. Leen. Observan. ¿Crees que no comparten porque no tienen nada interesante que contar? ¿Porque no saben cómo abrir una conversación? ¿Porque no saben comunicar? No es por eso.</t>
  </si>
  <si>
    <t>CEO &amp; Founder “En Estudio Alfa, trabajamos para que consigas más clientes con menos esfuerzo”</t>
  </si>
  <si>
    <t>https://lnkd.in/p/gA73DCBi</t>
  </si>
  <si>
    <t>Roberto Navarro • 1st CEO &amp; Founder “En Estudio Alfa, trabajamos para que consigas más clientes con menos esfuerzo” 3w • Puedes publicar mucho durante tres semanas y no construir nada que el mercado recuerde. Eso pasa más de lo que parece. La coherencia es menos vistosa que la intensidad, pero dura más. Cambiar de mensaje cada mes, probar diez estilos visuales y hablar hoy de una cosa y mañana de otra genera movimiento, aunque no necesariamente memoria. La autoridad aparece cuando el mercado detecta un criterio estable. No hace falta repetir siempre lo mismo, pero sí conviene que t</t>
  </si>
  <si>
    <t>https://lnkd.in/p/gNyctC56</t>
  </si>
  <si>
    <t>Claudio Cavezzali • 1st Marketing Strategist with a Bachelor’s Degree and MS in Marketing | Strategic Growth Leader | CMO at Consultoría MKT® Visit my website 3w • Gobernar una empresa con reportes del mes pasado es manejar mirando por el retrovisor. 🧠🏛️📉 El mayor freno en la mesa directiva raras veces es la falta de visión; es la latencia acumulada. Para cuando un comité directivo recibe los datos consolidados de un cambio en la demanda o el costo de adquisición, el mercado ya se movió. El C-Suite no puede seguir operando como un auditor de hojas de cálculo ni depender de reunio</t>
  </si>
  <si>
    <t>https://lnkd.in/p/gnyqHVyS</t>
  </si>
  <si>
    <t>Vanessa Brito Montilla • 1st IT Recruiter | Sourcer | HeadHunter | Talent Adquisition | Reclutador | Selección View my services 3w • 🚀 ¡BÚSQUEDA LABORAL! | Sales Development Representative (SDR) B2B – 100% Remoto (Portugués Nativo / Español) Nos encontramos en la búsqueda de un Sales Development Representative (SDR) dinámico, enfocado en resultados y con alta capacidad de persuasión para impulsar la prospección y apertura de nuevos mercados estratégicos en Portugal. 🎯 Misión del rol: Serás la punta de lanza de la estrategia comercial, identificando cuentas clave, generando convers</t>
  </si>
  <si>
    <t>https://lnkd.in/p/gGEfKs5A</t>
  </si>
  <si>
    <t>Monika Saleta, DrBA • 1st #1 Talent Sourcer - Ad-Hoc &amp; Embedded ● No recruitment agencies. No high fees. No job boards. Top 1% candidates in 7 days for any role or location ● monikasaleta.com + hi@monikasaleta.com 3w • 🔥 HIRING ● Sap FICO Consultant ● Remote USA 🎯 Sap FICO Consultant 🎯 WORK MODE: Remote USA 🎯 COMPANY SIZE: 101-200 🎯 COMPANY HQ LOCATION: Pasadena, CA ⭐ SKILLS OF A PERFECT CANDIDATE: ✔️ Minimum of 4-6 years of practical experience working with the SAP FICO module, including documented successes as a Senior Consultant. ✔️ Knowledge of FI-AP, FI-AR, FI-AA</t>
  </si>
  <si>
    <t>Founder @ Ignicionlab</t>
  </si>
  <si>
    <t>4w</t>
  </si>
  <si>
    <t>https://lnkd.in/p/g5Tq6csu</t>
  </si>
  <si>
    <t>Breno Latorre • 1st Founder @ Ignicionlab 4w • 𝗨𝗻𝗮 𝗺𝗶𝘀𝗺𝗮 𝗽á𝗴𝗶𝗻𝗮 𝗽𝘂𝗲𝗱𝗲 𝗮𝗰𝗮𝗯𝗮𝗿 𝗲𝘅𝗶𝘀𝘁𝗶𝗲𝗻𝗱𝗼 𝗯𝗮𝗷𝗼 𝗰𝗶𝗲𝗻𝘁𝗼𝘀 𝗼 𝗺𝗶𝗹𝗲𝘀 𝗱𝗲 𝗨𝗥𝗟𝘀 𝗱𝗶𝗳𝗲𝗿𝗲𝗻𝘁𝗲𝘀 𝘀𝗶𝗻 𝗾𝘂𝗲 𝗻𝗮𝗱𝗶𝗲 𝗹𝗮𝘀 𝗵𝗮𝘆𝗮 𝗰𝗿𝗲𝗮𝗱𝗼 𝗺𝗮𝗻𝘂𝗮𝗹𝗺𝗲𝗻𝘁𝗲. Es algo bastante habitual. Parámetros de tracking, filtros de un ecommerce, búsquedas internas, paginaciones, identificadores de sesión o determinadas funcionalidades dinámicas pueden hacer que el servidor responda a direcciones distintas aunque, en la práctica, el contenido sea prácticamente el mismo. Por ejemplo:</t>
  </si>
  <si>
    <t>https://lnkd.in/p/gzYqEfZU</t>
  </si>
  <si>
    <t>BelisariosCorpTech . • 1st CEO 4w • “TELÉFONOS GAMA ALTA PARA LOS EJECUTIVOS DE TÚ ORGANIZACIÓN"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seguros,</t>
  </si>
  <si>
    <t>https://lnkd.in/p/gqUdnJKW</t>
  </si>
  <si>
    <t>Vanessa Brito Montilla • 1st IT Recruiter | Sourcer | HeadHunter | Talent Adquisition | Reclutador | Selección View my services 4w • 🚀 ¡BÚSQUEDA LABORAL! | SDR B2B / Outbound Specialist (PropTech / Real Estate) – 100% Remoto (LATAM) Estamos en la búsqueda de un Sales Development Representative (SDR) para una startup española del sector PropTech, que está revolucionando el mercado inmobiliario con un modelo innovador de acceso a la vivienda. 📌 Puntos clave de la posición: Modalidad: 100% Remoto (desde LATAM / Contractor). Jornada: Full-time (9am a 18 hrs España). Pago en usd mensu</t>
  </si>
  <si>
    <t>https://lnkd.in/p/gf7iGQTJ</t>
  </si>
  <si>
    <t>Amarilis Gonzalez • 1st I turn senior and C-Level careers into positioning that generates roles, authority or clients in 2 weeks | VÉRTICE Method | Spanish-speaking executives in the US, LATAM &amp; Spain | 400+ repositioned 3w • ¡Elimina YA esto de tu perfil de LinkedIn! ➡️Elimina el titular que solo dice tu cargo. ➡️Elimina el “Acerca de” que repite tu CV. ➡️Elimina las experiencias llenas de funciones que no demuestran ningún resultado. Hoy puedes detectar en 15 minutos qué está frenando el posicionamiento de tu perfil utilizando solo: ✅ Inteligencia Artificial. ✅ Tu objetivo profesi</t>
  </si>
  <si>
    <t>https://lnkd.in/p/gqeMHnWM</t>
  </si>
  <si>
    <t>Monika Saleta, DrBA • 1st #1 Talent Sourcer - Ad-Hoc &amp; Embedded ● No recruitment agencies. No high fees. No job boards. Top 1% candidates in 7 days for any role or location ● monikasaleta.com + hi@monikasaleta.com 3w • 🔥 HIRING ● Senior Full-Stack Developer (Node.js / React / React Native) ● Remote European Union 🎯 Senior Full-Stack Developer (Node.js / React / React Native) 🎯 WORK MODE: Remote European Union 🎯 COMPANY SIZE: 51-100 🎯 COMPANY HQ LOCATION: Germany ⭐ SKILLS OF A PERFECT CANDIDATE ✔️ Minimum 2 years experience building modern web applications ✔️ Solid knowledge o</t>
  </si>
  <si>
    <t>https://lnkd.in/p/gXMqPNwD</t>
  </si>
  <si>
    <t>Maxence Marius • 1st Managing Director at Eskimoz Spain 🇪🇸 | Global Search Agency Book an appointment 3w • 💡 Los comentarios en LinkedIn ya no son conversación. Son ruido reciclado por IA. Kevin Indig lo señaló hace unos días: la mayoría de comentarios en sus posts son versiones regurgitadas de lo que él acaba de escribir, sin ningún valor añadido. Y hace un paralelismo brutal: un virus no tiene metabolismo propio, necesita un huésped para reproducirse. Los comentarios IA funcionan igual. ❄️ LinkedIn ya está reaccionando. En las últimas 10 semanas desplegó un sistema que detecta</t>
  </si>
  <si>
    <t>Economist | Office Manager  | Relationship Builder | Lead Generation | Freight Broker Specialist |  Business Development |  Logistics | LOA</t>
  </si>
  <si>
    <t>https://lnkd.in/p/gvEU5f3A</t>
  </si>
  <si>
    <t>Anais Aristigueta • 1st Economist | Office Manager | Relationship Builder | Lead Generation | Freight Broker Specialist | Business Development | Logistics | LOA 4w • 🚀 Ready to unlock your home’s full potential? Partner with loan expert Ralph L. Tucker (NMLS# 138872) at NEXA Mortgage for unbeatable rates, fast pre-approvals, and customized financing options: 🏠 New Property Purchases — Secure the best loan fast. 📉 Refinancing — Lower your monthly rate &amp; save big. 💳 HELOC — Turn home equity into instant cash. 📩 DM me right now or call/email us directly to get your zero-hassle quo</t>
  </si>
  <si>
    <t>https://lnkd.in/p/gRdMEEzg</t>
  </si>
  <si>
    <t>BelisariosCorpTech . • 1st CEO 4w • "EL RESPALDO ELÉCTRICO DE TÚ EMPRESA, ES UNA PRIORIDAD PARA NOSOTROS" No permitas que la operatividad de tu empresa se vea afectada por interrupciones eléctricas, aprovecha la disponibilidad inmediata en todas nuestras lineas de productos. IDEALES PARA : -CLINICAS/ HOSPITALES -AEROPUERTOS -SECTOR ENERGÉTICO (PETRÓLEO Y GAS) -SECTOR INDUSTRIAL -INSTITUCIONES DEL SECTOR FINANCIERO - SECTOR TELECOMUNICACIONES -SECTOR RETAIL -OTROS Somos BelisariosCorpTech, "Una organización cuyo modelo de negocio exponencial le permite empoderar gente, empresas e im</t>
  </si>
  <si>
    <t>https://lnkd.in/p/gtB8DWNt</t>
  </si>
  <si>
    <t>https://lnkd.in/p/gAShRXCJ</t>
  </si>
  <si>
    <t>Monika Saleta, DrBA • 1st #1 Talent Sourcer - Ad-Hoc &amp; Embedded ● No recruitment agencies. No high fees. No job boards. Top 1% candidates in 7 days for any role or location ● monikasaleta.com + hi@monikasaleta.com 3w • 🔥 HIRING ● Senior Product Manager ● Remote European Union 🎯 Senior Product Manager 🎯 WORK MODE: Remote European Union 🎯 COMPANY SIZE: 101-200 🎯 COMPANY HQ LOCATION: Germany ⭐ SKILLS OF A PERFECT CANDIDATE ✔️ 5+ years of product management experience, with a strong track record in platform or infrastructure domains—ideally in payments, billing, or monetization ✔️</t>
  </si>
  <si>
    <t>https://lnkd.in/p/gtfWy7mP</t>
  </si>
  <si>
    <t>Fernando P. Maniglia • 1st Socio Gerente en SeaMan SRL 4w • La cuenta regresiva ha empezado. AIden, nuestra IA 100% argentina, está a punto de dar un nuevo salto. Hoy AIden ya funciona como un agente autónomo, capaz de analizar objetivos, tomar decisiones, organizar tareas y dirigir otros procesos para llegar a un resultado. Ahora vamos un paso más allá: AIden podrá tener acceso a la PC y trabajar sobre ella tal como lo haría una persona. Podrá abrir aplicaciones, navegar por Internet, trabajar con archivos y documentos, completar formularios, enviar correos, utilizar sistemas de ges</t>
  </si>
  <si>
    <t>1mo</t>
  </si>
  <si>
    <t>https://lnkd.in/p/ggFphYCZ</t>
  </si>
  <si>
    <t>Eduardo Gamez • 1st I help fractional founders build the GTM foundations for their firm. 1mo • Flagging Ai slop as service on LinkedIn. Easy way to tank your competitor’s LinkedIn post, Just give us a list of CEOs you want to target, our team will handle the rest. Live monitoring of LinkedIn activity, Whenever a new post goes live, we hit the 3 dots and mark it as AI Slop See their impressions and engagement go south immediately. Try it for free… Disclaimer: Results may vary depending on how much slop your competitors are actually posting. … more Like Comment Repost Se</t>
  </si>
  <si>
    <t>https://lnkd.in/p/g_pMWe2P</t>
  </si>
  <si>
    <t>BelisariosCorpTech . • 1st CEO 1mo • "DISPOSITIVOS PORTÁTILES DE ALMACENAMIENTO DE DATOS AL POR MAYOR"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Pendrive, storage Powervoult ME5012 y otros en líneas generales, Radios Intrìnse</t>
  </si>
  <si>
    <t>https://lnkd.in/p/gCMtckes</t>
  </si>
  <si>
    <t>Amarilis Gonzalez • 1st I turn senior and C-Level careers into positioning that generates roles, authority or clients in 2 weeks | VÉRTICE Method | Spanish-speaking executives in the US, LATAM &amp; Spain | 400+ repositioned 4w • Esta es la ruta con la que he ayudado a profesionales a conseguir empleo en tiempo récord.👇🏼 Y no consiste en enviar 100 CV por semana. Durante los últimos meses he visto profesionales pasar de una búsqueda estancada a generar conversaciones, entrevistas y nuevas oportunidades en pocas semanas. ¿Qué cambió? Aplicando mi estratégis Vértice, dejaron de depende</t>
  </si>
  <si>
    <t>https://lnkd.in/p/gM3QSSQw</t>
  </si>
  <si>
    <t>Monika Saleta, DrBA • 1st #1 Talent Sourcer - Ad-Hoc &amp; Embedded ● No recruitment agencies. No high fees. No job boards. Top 1% candidates in 7 days for any role or location ● monikasaleta.com + hi@monikasaleta.com 3w • 🔥 HIRING ● Financial Engineering Business Analyst ● Remote USA 🎯 Financial Engineering Business Analyst 🎯 WORK MODE: Remote USA 🎯 COMPANY SIZE: 51-100 🎯 COMPANY HQ LOCATION: Minneapolis, MN ⭐ SKILLS OF A PERFECT CANDIDATE: ✔️ 5+ years as a Business Analyst in banking with a degree in a quantitative field ✔️ Expertise in Credit Risk modeling and data an</t>
  </si>
  <si>
    <t>Psychologist. Recruiter</t>
  </si>
  <si>
    <t>https://lnkd.in/p/gkKSXNPr</t>
  </si>
  <si>
    <t>Andreina Valera Duran • 1st Psychologist. Recruiter 1mo • Some people write code. Some people really understand what’s happening behind the code 👀 We are looking for the second kind. 🚀 Kappa is opening a new Backend JavaScript role! We're looking for an engineer who enjoys solving problems, digging into the -&gt;why, and building things that actually work -&gt; not just things that compile 😎 You will bring: ⚡ 4–5+ years of Software Engineering experience 💻 Strong Backend JavaScript skills 🗄️ Solid database knowledge -&gt;architecture, performance, scalability &amp; what is happening under the</t>
  </si>
  <si>
    <t>Fullstack Tech Lead | AI Applied: LangChain, LlamaIndex, RAG, LLMs, Speaker</t>
  </si>
  <si>
    <t>https://lnkd.in/p/g_BRV4YT</t>
  </si>
  <si>
    <t>Diego Edgardo Martin Camacho • 1st Fullstack Tech Lead | AI Applied: LangChain, LlamaIndex, RAG, LLMs, Speaker 1mo • Hace rato que no escribo un post en linkedin. Fiel a mi pensamiento, es 100% libre de IA porque, como dije una vez, renunciar a este ejercicio intelectual es perder neuronas que no quiero perder. Solo por las dudas, no estoy en contra de la IA, al contrario, y la uso todo el tiempo en mi trabajo y no hace falta que mencione todo lo bueno que trae. Pero quería traer una pequeña reflexión nomás sobre la calidad de lo que se entrega cuando el código es generado 100% por age</t>
  </si>
  <si>
    <t>https://lnkd.in/p/gsSsdQNf</t>
  </si>
  <si>
    <t>BelisariosCorpTech . • 1st CEO 1mo • ¿DESEAS MODERNIZAR LA INFRAESTRUCTURA TECNOLÓGICA DE TÚ EMPRESA?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t>
  </si>
  <si>
    <t>https://lnkd.in/p/g8_ZZqBE</t>
  </si>
  <si>
    <t>Monika Saleta, DrBA • 1st #1 Talent Sourcer - Ad-Hoc &amp; Embedded ● No recruitment agencies. No high fees. No job boards. Top 1% candidates in 7 days for any role or location ● monikasaleta.com + hi@monikasaleta.com 3w • 🔥 HIRING ● Staff Data Engineer ● Remote European Union 🎯 Staff Data Engineer 🎯 WORK MODE: Remote European Union 🎯 COMPANY SIZE: 11-50 🎯 COMPANY HQ LOCATION: France ⭐ SKILLS OF A PERFECT CANDIDATE ✔️ BS degree in Computer Science or related technical field involving coding, or equivalent technical experience ✔️ 10+ years building large-scale data systems, with a d</t>
  </si>
  <si>
    <t>https://lnkd.in/p/g_gJ8THh</t>
  </si>
  <si>
    <t>Natalia Montolio • 1st ¿Problemas con tus ventas? +12 años resolviéndolos · LinkedIn · Sales Navigator · ChatGPT · Claude aplicados a VENTAS · Ingeniera Industrial Book an appointment 1mo • Edited • Si quieres que la IA te ayude de verdad con cada cliente, haz esto 👇🏼 Cuando consigas un cliente potencial, crea un proyecto solo para él. Guarda ahí sus necesidades, conversaciones, propuestas, objeciones y próximos pasos. Así, la IA mantiene el contexto y puede ayudarte a: → Preparar reuniones. → Redactar respuestas más precisas. → Analizar objeciones. → Mejorar propuestas. → Automa</t>
  </si>
  <si>
    <t>Emprendedor y piloto, especialista en inbound marketing.</t>
  </si>
  <si>
    <t>https://lnkd.in/p/gduNd2ui</t>
  </si>
  <si>
    <t>Omar Fuentes Lambouret • 1st Emprendedor y piloto, especialista en inbound marketing. Visit my website 1mo • ESTAMOS CONTRATANDO · BDR Senior · Nuevos Negocios B2B En Delta Digital llevamos más de 6 años haciendo marketing digital y desarrollo web para empresas en Chile. Estamos fortaleciendo nuestro equipo comercial y buscamos a la persona que abre puertas. Qué harás: - Construir y priorizar listas de cuentas objetivo, empresas medianas y grandes, investigando cada una antes del primer contacto. - Diseñar y ejecutar cadencias outbound multicanal (correo, LinkedIn y teléfono) con s</t>
  </si>
  <si>
    <t>https://lnkd.in/p/gWCuiHhY</t>
  </si>
  <si>
    <t>Raul Montalvo • 1st Consigo que tu empresa venda más diferenciándote - LinkedIn TopVoice - CEO @esmartia - Mentor - Inbound Marketing - IA para B2B - Marketing de Contenidos - B2B - Estrategia digital - CRM - A la caza de vendehumos View my newsletter 1mo • Hasta pronto Enrique, te echaré de menos... Show translation A contracorriente Subscribe Hasta pronto Enrique Raul Montalvo Mariam Veiga and 80 others reacted Mariam Veiga and 80 others 16 comments 16 comments Like Comment Repost Send</t>
  </si>
  <si>
    <t>https://lnkd.in/p/g8PXbgUE</t>
  </si>
  <si>
    <t>BelisariosCorpTech . • 1st CEO 1mo • "TE ENCUENTRAS EN EL LUGAR CORRECTO"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Impresoras, storage Powervoult ME5012 y otros en líneas generales, Radios Intrìnsecamente seguros, Video Beams, Pc, all in</t>
  </si>
  <si>
    <t>https://lnkd.in/p/ghW_iT8p</t>
  </si>
  <si>
    <t>Monika Saleta, DrBA • 1st #1 Talent Sourcer - Ad-Hoc &amp; Embedded ● No recruitment agencies. No high fees. No job boards. Top 1% candidates in 7 days for any role or location ● monikasaleta.com + hi@monikasaleta.com 3w • 🔥 HIRING ● ITIL Service Delivery Manager ● Remote USA 🎯 ITIL Service Delivery Manager 🎯 WORK MODE: Remote USA 🎯 COMPANY SIZE: 201-500 🎯 COMPANY HQ LOCATION: Philadelphia, PA ⭐ SKILLS OF A PERFECT CANDIDATE: ✔️ ITIL experience ✔️ Excel intermediate ✔️ Service experience ✔️ Finance Management ✔️ Contract negotiation experience ✔️ ITIL IT Service Manag</t>
  </si>
  <si>
    <t>https://lnkd.in/p/grMzkXwd</t>
  </si>
  <si>
    <t>Claudio Cavezzali • 1st Marketing Strategist with a Bachelor’s Degree and MS in Marketing | Strategic Growth Leader | CMO at Consultoría MKT® Visit my website 1mo • Desplegar agentes de IA sin gobernanza no es innovación; es negligencia fiduciaria. 🧠🛡️🏛️ A medida que la Inteligencia Artificial pasa de redactar borradores a ejecutar procesos de negocio de forma autónoma, la conversación en la mesa directiva debe cambiar de eje. Un agente autónomo puede procesar datos, calificar clientes y enviar propuestas en milisegundos. Pero no entiende de sutilezas culturales, no tiene juicio</t>
  </si>
  <si>
    <t>https://lnkd.in/p/gEYBFWUU</t>
  </si>
  <si>
    <t>Deisa González • 1st Deisa González: Director en Miradas Empresariales / Consultor empresarial / Psicóloga FPV: 4532. Magíster en Relaciones industriales y laborales . 1mo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del</t>
  </si>
  <si>
    <t>https://lnkd.in/p/gQb_TxfG</t>
  </si>
  <si>
    <t>Monika Saleta, DrBA • 1st #1 Talent Sourcer - Ad-Hoc &amp; Embedded ● No recruitment agencies. No high fees. No job boards. Top 1% candidates in 7 days for any role or location ● monikasaleta.com + hi@monikasaleta.com 3w • 🔥 HIRING ● Frontend Developer (Angular) ● Remote European Union 🎯 Frontend Developer (Angular) 🎯 WORK MODE: Remote European Union 🎯 COMPANY SIZE: 51-100 🎯 COMPANY HQ LOCATION: France ⭐ SKILLS OF A PERFECT CANDIDATE ✔️ Front-end development experience for 4+ years ✔️ Strong proficiency with JavaScript / TypeScript ✔️ Solid hands-on experience with Angular ✔️ Knowl</t>
  </si>
  <si>
    <t>https://lnkd.in/p/ggMdwvmf</t>
  </si>
  <si>
    <t>BelisariosCorpTech . • 1st CEO 1mo • "IDEALES PARA EMPRESAS QUE REQUIERAN SISTEMAS DE ALMACENAMIENTO ROBUSTOS" "CONTÁCTANOS Y ADQUIERE LA INFRAESTRUCTURA DE RED QUE NECESITA TÚ ORGANIZACIÓN" Somos BelisariosCorpTech, "Una organización cuyo modelo de negocio exponencial le permite empoderar gente, empresas e impulsar el desarrollo de la actividad económica nacional. (INFRAESTRUCTURA TECNOLÓGICA EMPRESARIAL) "Servidores(DL360,DL380,R360, R760xs, Dl120, r660xs, Microserver,T160, T410,R715) laptops (Hp, Lenovo, dell, Gateway, apple , Acer, Asus, msi) switches (24-48Ports) Monitores, Impr</t>
  </si>
  <si>
    <t>https://lnkd.in/p/gfSPUnUp</t>
  </si>
  <si>
    <t>Ariana Sol Geraci • 1st Psychologist / Global Recruiter 🚀💻 1mo • 🚀 We're #hiring: 𝗝𝘂𝗻𝗶𝗼𝗿 𝗔𝘀𝘀𝗶𝘀𝘁𝗮𝗻𝘁 (based in Buenos Aires) 📍 100% Remote Our US-based client is a specialist recruitment business supporting technical and scientific equipment companies across the US, UK and EU. We're looking for a Junior Outbound Assistant to support the commercial team by running the manager’s outbound machine: maintain target accounts, prepare and send LinkedIn and email campaigns, follow up intelligently, spot triggers, and escalate warm opportunities at the right moment. 🎯 𝗞𝗲𝘆</t>
  </si>
  <si>
    <t>https://lnkd.in/p/gZgndNfQ</t>
  </si>
  <si>
    <t>Natalia Montolio • 1st ¿Problemas con tus ventas? +12 años resolviéndolos · LinkedIn · Sales Navigator · ChatGPT · Claude aplicados a VENTAS · Ingeniera Industrial Book an appointment 1mo • Edited • ♥️Nuestra calidad de vida depende mucho de la calidad de nuestras relaciones. Porque las personas con las que nos rodeamos acaban influyendo en cómo pensamos, cómo sentimos y cómo vivimos. LinkedIn reúne a más de 1.000 millones de profesionales… y entre tantos, algunos acaban convirtiéndose en relaciones de mucha calidad #nataliamontolio #ingenieraindustrial #ventas #salesnavigator #ia #</t>
  </si>
  <si>
    <t>https://lnkd.in/p/g_ufN5Aw</t>
  </si>
  <si>
    <t>Rodolfo Barbosa • 1st AI &amp; Data Architect — Building AI-Driven Products with LLMs, RAG &amp; Multi-Agent Systems — Advisor &amp; Tech Lead — From PoCs to Production 1mo • Nas últimas aulas a gente foi até o com SaaS: deploy, segurança e integração de pagamentos. Aqui a tropa construiu de verdade e mostrou que dá para sair do zero ao produto funcionando. Agora quero ouvir vocês. Na próxima Quarta-feira, próxima aula, qual tema a vamos atacar juntos? 1️⃣ LinkedIn + Como conseguir vagas em dados + IA — perfil, headline, busca de recrutadores e um fluxo prático de candidatura 2️⃣ Análise de da</t>
  </si>
  <si>
    <t>https://lnkd.in/p/gk4wu4ny</t>
  </si>
  <si>
    <t>Deisa González • 1st Deisa González: Director en Miradas Empresariales / Consultor empresarial / Psicóloga FPV: 4532. Magíster en Relaciones industriales y laborales . 1mo • Para empresa manufacturera de soluciones de empaque(sector farmacéutico y/o cosméticos), buscamos: Gerente de Nuevos Negocios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 de</t>
  </si>
  <si>
    <t>https://lnkd.in/p/gMxeHaS9</t>
  </si>
  <si>
    <t>Monika Saleta, DrBA • 1st #1 Talent Sourcer - Ad-Hoc &amp; Embedded ● No recruitment agencies. No high fees. No job boards. Top 1% candidates in 7 days for any role or location ● monikasaleta.com + hi@monikasaleta.com 4w • 🔥 HIRING ● Cybersecurity Senior Manager ● Remote European Union 🎯 Cybersecurity Senior Manager 🎯 WORK MODE: Remote European Union 🎯 COMPANY SIZE: 51-100 🎯 COMPANY HQ LOCATION: Poland ⭐ SKILLS OF A PERFECT CANDIDATE ✔️ 10+ years of experience in cybersecurity, including client-facing roles ✔️ 5+ years in leadership or people management positions ✔️ Strong knowledg</t>
  </si>
  <si>
    <t>Custom Software Development | Motorsport Enthusiast</t>
  </si>
  <si>
    <t>https://lnkd.in/p/gtfdqMEY</t>
  </si>
  <si>
    <t>Katherine Uriarte Ortiz • 1st Custom Software Development | Motorsport Enthusiast 1mo • Hoy, tristemente, les traigo un artículo sin una reflexión final. No sé cómo podríamos mejorar esto, así que hoy, los leeré a ustedes: ¿les pasa? ¿qué solución ven? Show translation Hablemos sin IA Subscribe No quiero que me vendas, y me siento mal por eso. Katherine Uriarte Ortiz 10 reactions 10 9 comments 9 comments Like Comment Repost Send</t>
  </si>
  <si>
    <t>Psicóloga en Selección | Cuando la selección es humana, las decisiones son mejores | Headhunter | Mentora</t>
  </si>
  <si>
    <t>https://lnkd.in/p/geP_6sM7</t>
  </si>
  <si>
    <t>María Rojas • 1st Psicóloga en Selección | Cuando la selección es humana, las decisiones son mejores | Headhunter | Mentora 1mo • Edited • VACANTE CERRADA 🚀 𝐂𝐨𝐧𝐭𝐞𝐧𝐭 𝐂𝐫𝐞𝐚𝐭𝐨𝐫 &amp; 𝐒𝐨𝐜𝐢𝐚𝐥 𝐌𝐞𝐝𝐢𝐚 𝐌𝐚𝐧𝐚𝐠𝐞𝐫 | Remoto LATAM ¿Eres de esas personas que ven una marca y automáticamente empiezan a pensar cómo mejorarían su contenido, su narrativa y su presencia digital? Para una agencia de branding, diseño y estrategia digital, buscamos un/a 𝐂𝐨𝐧𝐭𝐞𝐧𝐭 𝐂𝐫𝐞𝐚𝐭𝐨𝐫 &amp; 𝐒𝐨𝐜𝐢𝐚𝐥 𝐌𝐞𝐝𝐢𝐚 𝐌𝐚𝐧𝐚𝐠𝐞𝐫 para liderar la narrativa digital y visual de marcas vincu</t>
  </si>
  <si>
    <t>https://lnkd.in/p/gFgu3VR5</t>
  </si>
  <si>
    <t>Stephany Emilia Amaro • 1st Influencer Marketing &amp; Creative Strategy | Content + Community | Brand Partnerships &amp; Experiences 1mo • Hoy vi esta opción en LinkedIn: Parece spam de IA. Era cuestión de tiempo, y el problema no es usar IA. Yo la uso pordenar ideas, escribir mejor algo que ya tengo en la cabeza, investigar, quitarme trabajo repetitivo… El problema empieza cuando también le delegamos tener algo que decir. Porque últimamente siento que todos queremos publicar. Todos queremos visibilidad, pero ¿a costa de qué? Otro post sobre las mismas 5 lecciones. Otra opinión que no vien</t>
  </si>
  <si>
    <t>https://lnkd.in/p/g9APSbHN</t>
  </si>
  <si>
    <t>Deisa González • 1st Deisa González: Director en Miradas Empresariales / Consultor empresarial / Psicóloga FPV: 4532. Magíster en Relaciones industriales y laborales . 1mo • Para empresa manufacturera de soluciones de empaque(sector farmacéutico y/o cosméticos), buscamos: Gerente de Nuevos Negocios 🎯 Con sólida orientación comercial, comprensión de procesos industriales y capacidad para innovar y liderar proyectos técnicos de desarrollo de empaques desde la identificación de la oportunidad hasta su validación e incorporación comercial. Reportando directamente al Gerente General</t>
  </si>
  <si>
    <t>TOTALS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</si>
</sst>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7">
    <font>
      <sz val="11.0"/>
      <color theme="1"/>
      <name val="Calibri"/>
      <scheme val="minor"/>
    </font>
    <font>
      <b/>
      <sz val="14.0"/>
      <color theme="1"/>
      <name val="Arial"/>
    </font>
    <font>
      <i/>
      <sz val="9.0"/>
      <color rgb="FF595959"/>
      <name val="Arial"/>
    </font>
    <font>
      <b/>
      <sz val="10.0"/>
      <color rgb="FFFFFFFF"/>
      <name val="Arial"/>
    </font>
    <font>
      <sz val="10.0"/>
      <color theme="1"/>
      <name val="Arial"/>
    </font>
    <font>
      <u/>
      <sz val="10.0"/>
      <color rgb="FF0563C1"/>
      <name val="Arial"/>
    </font>
    <font>
      <b/>
      <sz val="10.0"/>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1" fillId="0" fontId="4" numFmtId="164" xfId="0" applyAlignment="1" applyBorder="1" applyFont="1" applyNumberFormat="1">
      <alignment horizontal="center" shrinkToFit="0" vertical="bottom" wrapText="0"/>
    </xf>
    <xf borderId="1" fillId="0" fontId="4" numFmtId="165" xfId="0" applyAlignment="1" applyBorder="1" applyFont="1" applyNumberFormat="1">
      <alignment horizontal="center" shrinkToFit="0" vertical="bottom" wrapText="0"/>
    </xf>
    <xf borderId="1" fillId="0" fontId="5" numFmtId="0" xfId="0" applyAlignment="1" applyBorder="1" applyFont="1">
      <alignment shrinkToFit="0" vertical="bottom" wrapText="0"/>
    </xf>
    <xf borderId="0" fillId="0" fontId="6"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nkd.in/p/gaEwsAhj" TargetMode="External"/><Relationship Id="rId42" Type="http://schemas.openxmlformats.org/officeDocument/2006/relationships/hyperlink" Target="https://lnkd.in/p/g54ytvZC" TargetMode="External"/><Relationship Id="rId41" Type="http://schemas.openxmlformats.org/officeDocument/2006/relationships/hyperlink" Target="https://lnkd.in/p/g2Pf6vbU" TargetMode="External"/><Relationship Id="rId44" Type="http://schemas.openxmlformats.org/officeDocument/2006/relationships/hyperlink" Target="https://lnkd.in/p/ge4FJfu3" TargetMode="External"/><Relationship Id="rId43" Type="http://schemas.openxmlformats.org/officeDocument/2006/relationships/hyperlink" Target="https://lnkd.in/p/gW2sJSHj" TargetMode="External"/><Relationship Id="rId46" Type="http://schemas.openxmlformats.org/officeDocument/2006/relationships/hyperlink" Target="https://lnkd.in/p/gFj8aKCf" TargetMode="External"/><Relationship Id="rId45" Type="http://schemas.openxmlformats.org/officeDocument/2006/relationships/hyperlink" Target="https://lnkd.in/p/gzetzG7Q" TargetMode="External"/><Relationship Id="rId107" Type="http://schemas.openxmlformats.org/officeDocument/2006/relationships/hyperlink" Target="https://lnkd.in/p/gA73DCBi" TargetMode="External"/><Relationship Id="rId106" Type="http://schemas.openxmlformats.org/officeDocument/2006/relationships/hyperlink" Target="https://lnkd.in/p/gDh8DjRd" TargetMode="External"/><Relationship Id="rId105" Type="http://schemas.openxmlformats.org/officeDocument/2006/relationships/hyperlink" Target="https://lnkd.in/p/g7D_Ku6P" TargetMode="External"/><Relationship Id="rId104" Type="http://schemas.openxmlformats.org/officeDocument/2006/relationships/hyperlink" Target="https://lnkd.in/p/ga7fWRpm" TargetMode="External"/><Relationship Id="rId109" Type="http://schemas.openxmlformats.org/officeDocument/2006/relationships/hyperlink" Target="https://lnkd.in/p/gnyqHVyS" TargetMode="External"/><Relationship Id="rId108" Type="http://schemas.openxmlformats.org/officeDocument/2006/relationships/hyperlink" Target="https://lnkd.in/p/gNyctC56" TargetMode="External"/><Relationship Id="rId48" Type="http://schemas.openxmlformats.org/officeDocument/2006/relationships/hyperlink" Target="https://lnkd.in/p/gzUdzr9q" TargetMode="External"/><Relationship Id="rId47" Type="http://schemas.openxmlformats.org/officeDocument/2006/relationships/hyperlink" Target="https://lnkd.in/p/gtCMN7eH" TargetMode="External"/><Relationship Id="rId49" Type="http://schemas.openxmlformats.org/officeDocument/2006/relationships/hyperlink" Target="https://lnkd.in/p/gAqEgH8Z" TargetMode="External"/><Relationship Id="rId103" Type="http://schemas.openxmlformats.org/officeDocument/2006/relationships/hyperlink" Target="https://lnkd.in/p/g8KYqDZu" TargetMode="External"/><Relationship Id="rId102" Type="http://schemas.openxmlformats.org/officeDocument/2006/relationships/hyperlink" Target="https://lnkd.in/p/gshBbU7v" TargetMode="External"/><Relationship Id="rId101" Type="http://schemas.openxmlformats.org/officeDocument/2006/relationships/hyperlink" Target="https://lnkd.in/p/ge-s-kUv" TargetMode="External"/><Relationship Id="rId100" Type="http://schemas.openxmlformats.org/officeDocument/2006/relationships/hyperlink" Target="https://lnkd.in/p/g5k2rA6X" TargetMode="External"/><Relationship Id="rId31" Type="http://schemas.openxmlformats.org/officeDocument/2006/relationships/hyperlink" Target="https://lnkd.in/p/gy6HwnkP" TargetMode="External"/><Relationship Id="rId30" Type="http://schemas.openxmlformats.org/officeDocument/2006/relationships/hyperlink" Target="https://lnkd.in/p/g4KyQRtX" TargetMode="External"/><Relationship Id="rId33" Type="http://schemas.openxmlformats.org/officeDocument/2006/relationships/hyperlink" Target="https://lnkd.in/p/gQZrjF2g" TargetMode="External"/><Relationship Id="rId32" Type="http://schemas.openxmlformats.org/officeDocument/2006/relationships/hyperlink" Target="https://lnkd.in/p/gceBwhVf" TargetMode="External"/><Relationship Id="rId35" Type="http://schemas.openxmlformats.org/officeDocument/2006/relationships/hyperlink" Target="https://lnkd.in/p/gqJKTcqh" TargetMode="External"/><Relationship Id="rId34" Type="http://schemas.openxmlformats.org/officeDocument/2006/relationships/hyperlink" Target="https://lnkd.in/p/gvjn5jRF" TargetMode="External"/><Relationship Id="rId37" Type="http://schemas.openxmlformats.org/officeDocument/2006/relationships/hyperlink" Target="https://lnkd.in/p/gCPiE_CF" TargetMode="External"/><Relationship Id="rId36" Type="http://schemas.openxmlformats.org/officeDocument/2006/relationships/hyperlink" Target="https://lnkd.in/p/gm-m9Mse" TargetMode="External"/><Relationship Id="rId39" Type="http://schemas.openxmlformats.org/officeDocument/2006/relationships/hyperlink" Target="https://lnkd.in/p/gtd-wwKd" TargetMode="External"/><Relationship Id="rId38" Type="http://schemas.openxmlformats.org/officeDocument/2006/relationships/hyperlink" Target="https://lnkd.in/p/gkm34AUP" TargetMode="External"/><Relationship Id="rId20" Type="http://schemas.openxmlformats.org/officeDocument/2006/relationships/hyperlink" Target="https://lnkd.in/p/g_2V2vrY" TargetMode="External"/><Relationship Id="rId22" Type="http://schemas.openxmlformats.org/officeDocument/2006/relationships/hyperlink" Target="https://lnkd.in/p/gSasftyB" TargetMode="External"/><Relationship Id="rId21" Type="http://schemas.openxmlformats.org/officeDocument/2006/relationships/hyperlink" Target="https://lnkd.in/p/gXjNuewt" TargetMode="External"/><Relationship Id="rId24" Type="http://schemas.openxmlformats.org/officeDocument/2006/relationships/hyperlink" Target="https://lnkd.in/p/gigqKrkD" TargetMode="External"/><Relationship Id="rId23" Type="http://schemas.openxmlformats.org/officeDocument/2006/relationships/hyperlink" Target="https://lnkd.in/p/gGqhqjSW" TargetMode="External"/><Relationship Id="rId129" Type="http://schemas.openxmlformats.org/officeDocument/2006/relationships/hyperlink" Target="https://lnkd.in/p/g8_ZZqBE" TargetMode="External"/><Relationship Id="rId128" Type="http://schemas.openxmlformats.org/officeDocument/2006/relationships/hyperlink" Target="https://lnkd.in/p/gsSsdQNf" TargetMode="External"/><Relationship Id="rId127" Type="http://schemas.openxmlformats.org/officeDocument/2006/relationships/hyperlink" Target="https://lnkd.in/p/g_BRV4YT" TargetMode="External"/><Relationship Id="rId126" Type="http://schemas.openxmlformats.org/officeDocument/2006/relationships/hyperlink" Target="https://lnkd.in/p/gkKSXNPr" TargetMode="External"/><Relationship Id="rId26" Type="http://schemas.openxmlformats.org/officeDocument/2006/relationships/hyperlink" Target="https://lnkd.in/p/gUqjvB9H" TargetMode="External"/><Relationship Id="rId121" Type="http://schemas.openxmlformats.org/officeDocument/2006/relationships/hyperlink" Target="https://lnkd.in/p/gtfWy7mP" TargetMode="External"/><Relationship Id="rId25" Type="http://schemas.openxmlformats.org/officeDocument/2006/relationships/hyperlink" Target="https://lnkd.in/p/g5WiK9J5" TargetMode="External"/><Relationship Id="rId120" Type="http://schemas.openxmlformats.org/officeDocument/2006/relationships/hyperlink" Target="https://lnkd.in/p/gAShRXCJ" TargetMode="External"/><Relationship Id="rId28" Type="http://schemas.openxmlformats.org/officeDocument/2006/relationships/hyperlink" Target="https://lnkd.in/p/gDCB76VB" TargetMode="External"/><Relationship Id="rId27" Type="http://schemas.openxmlformats.org/officeDocument/2006/relationships/hyperlink" Target="https://lnkd.in/p/gSrcgsrN" TargetMode="External"/><Relationship Id="rId125" Type="http://schemas.openxmlformats.org/officeDocument/2006/relationships/hyperlink" Target="https://lnkd.in/p/gM3QSSQw" TargetMode="External"/><Relationship Id="rId29" Type="http://schemas.openxmlformats.org/officeDocument/2006/relationships/hyperlink" Target="https://lnkd.in/p/gpGvJzuU" TargetMode="External"/><Relationship Id="rId124" Type="http://schemas.openxmlformats.org/officeDocument/2006/relationships/hyperlink" Target="https://lnkd.in/p/gCMtckes" TargetMode="External"/><Relationship Id="rId123" Type="http://schemas.openxmlformats.org/officeDocument/2006/relationships/hyperlink" Target="https://lnkd.in/p/g_pMWe2P" TargetMode="External"/><Relationship Id="rId122" Type="http://schemas.openxmlformats.org/officeDocument/2006/relationships/hyperlink" Target="https://lnkd.in/p/ggFphYCZ" TargetMode="External"/><Relationship Id="rId95" Type="http://schemas.openxmlformats.org/officeDocument/2006/relationships/hyperlink" Target="https://lnkd.in/p/gAaVgQBT" TargetMode="External"/><Relationship Id="rId94" Type="http://schemas.openxmlformats.org/officeDocument/2006/relationships/hyperlink" Target="https://lnkd.in/p/gKUQ8C_5" TargetMode="External"/><Relationship Id="rId97" Type="http://schemas.openxmlformats.org/officeDocument/2006/relationships/hyperlink" Target="https://lnkd.in/p/gfw6G6yH" TargetMode="External"/><Relationship Id="rId96" Type="http://schemas.openxmlformats.org/officeDocument/2006/relationships/hyperlink" Target="https://lnkd.in/p/gYMD9Ze5" TargetMode="External"/><Relationship Id="rId11" Type="http://schemas.openxmlformats.org/officeDocument/2006/relationships/hyperlink" Target="https://lnkd.in/p/gA46JcU5" TargetMode="External"/><Relationship Id="rId99" Type="http://schemas.openxmlformats.org/officeDocument/2006/relationships/hyperlink" Target="https://lnkd.in/p/gpqq9ufn" TargetMode="External"/><Relationship Id="rId10" Type="http://schemas.openxmlformats.org/officeDocument/2006/relationships/hyperlink" Target="https://lnkd.in/p/gF5by3Jq" TargetMode="External"/><Relationship Id="rId98" Type="http://schemas.openxmlformats.org/officeDocument/2006/relationships/hyperlink" Target="https://lnkd.in/p/g4tUNyAJ" TargetMode="External"/><Relationship Id="rId13" Type="http://schemas.openxmlformats.org/officeDocument/2006/relationships/hyperlink" Target="https://lnkd.in/p/gn27njry" TargetMode="External"/><Relationship Id="rId12" Type="http://schemas.openxmlformats.org/officeDocument/2006/relationships/hyperlink" Target="https://lnkd.in/p/gcJ-zvgm" TargetMode="External"/><Relationship Id="rId91" Type="http://schemas.openxmlformats.org/officeDocument/2006/relationships/hyperlink" Target="https://lnkd.in/p/g9gRGSrB" TargetMode="External"/><Relationship Id="rId90" Type="http://schemas.openxmlformats.org/officeDocument/2006/relationships/hyperlink" Target="https://lnkd.in/p/g53-9XXb" TargetMode="External"/><Relationship Id="rId93" Type="http://schemas.openxmlformats.org/officeDocument/2006/relationships/hyperlink" Target="https://lnkd.in/p/gbYsR-zQ" TargetMode="External"/><Relationship Id="rId92" Type="http://schemas.openxmlformats.org/officeDocument/2006/relationships/hyperlink" Target="https://lnkd.in/p/gATZbDKK" TargetMode="External"/><Relationship Id="rId118" Type="http://schemas.openxmlformats.org/officeDocument/2006/relationships/hyperlink" Target="https://lnkd.in/p/gRdMEEzg" TargetMode="External"/><Relationship Id="rId117" Type="http://schemas.openxmlformats.org/officeDocument/2006/relationships/hyperlink" Target="https://lnkd.in/p/gvEU5f3A" TargetMode="External"/><Relationship Id="rId116" Type="http://schemas.openxmlformats.org/officeDocument/2006/relationships/hyperlink" Target="https://lnkd.in/p/gXMqPNwD" TargetMode="External"/><Relationship Id="rId115" Type="http://schemas.openxmlformats.org/officeDocument/2006/relationships/hyperlink" Target="https://lnkd.in/p/gqeMHnWM" TargetMode="External"/><Relationship Id="rId119" Type="http://schemas.openxmlformats.org/officeDocument/2006/relationships/hyperlink" Target="https://lnkd.in/p/gtB8DWNt" TargetMode="External"/><Relationship Id="rId15" Type="http://schemas.openxmlformats.org/officeDocument/2006/relationships/hyperlink" Target="https://lnkd.in/p/g8Tjw6B5" TargetMode="External"/><Relationship Id="rId110" Type="http://schemas.openxmlformats.org/officeDocument/2006/relationships/hyperlink" Target="https://lnkd.in/p/gGEfKs5A" TargetMode="External"/><Relationship Id="rId14" Type="http://schemas.openxmlformats.org/officeDocument/2006/relationships/hyperlink" Target="https://lnkd.in/p/gUumNGBj" TargetMode="External"/><Relationship Id="rId17" Type="http://schemas.openxmlformats.org/officeDocument/2006/relationships/hyperlink" Target="https://lnkd.in/p/gd_yd6qD" TargetMode="External"/><Relationship Id="rId16" Type="http://schemas.openxmlformats.org/officeDocument/2006/relationships/hyperlink" Target="https://lnkd.in/p/g6ZbmF_g" TargetMode="External"/><Relationship Id="rId19" Type="http://schemas.openxmlformats.org/officeDocument/2006/relationships/hyperlink" Target="https://lnkd.in/p/gb9fzmsq" TargetMode="External"/><Relationship Id="rId114" Type="http://schemas.openxmlformats.org/officeDocument/2006/relationships/hyperlink" Target="https://lnkd.in/p/gf7iGQTJ" TargetMode="External"/><Relationship Id="rId18" Type="http://schemas.openxmlformats.org/officeDocument/2006/relationships/hyperlink" Target="https://lnkd.in/p/gKKFMeRd" TargetMode="External"/><Relationship Id="rId113" Type="http://schemas.openxmlformats.org/officeDocument/2006/relationships/hyperlink" Target="https://lnkd.in/p/gqUdnJKW" TargetMode="External"/><Relationship Id="rId112" Type="http://schemas.openxmlformats.org/officeDocument/2006/relationships/hyperlink" Target="https://lnkd.in/p/gzYqEfZU" TargetMode="External"/><Relationship Id="rId111" Type="http://schemas.openxmlformats.org/officeDocument/2006/relationships/hyperlink" Target="https://lnkd.in/p/g5Tq6csu" TargetMode="External"/><Relationship Id="rId84" Type="http://schemas.openxmlformats.org/officeDocument/2006/relationships/hyperlink" Target="https://lnkd.in/p/g5ZvWfQa" TargetMode="External"/><Relationship Id="rId83" Type="http://schemas.openxmlformats.org/officeDocument/2006/relationships/hyperlink" Target="https://lnkd.in/p/gjuzsZd7" TargetMode="External"/><Relationship Id="rId86" Type="http://schemas.openxmlformats.org/officeDocument/2006/relationships/hyperlink" Target="https://lnkd.in/p/gvAypYWY" TargetMode="External"/><Relationship Id="rId85" Type="http://schemas.openxmlformats.org/officeDocument/2006/relationships/hyperlink" Target="https://lnkd.in/p/g9QtRbGe" TargetMode="External"/><Relationship Id="rId88" Type="http://schemas.openxmlformats.org/officeDocument/2006/relationships/hyperlink" Target="https://lnkd.in/p/g25QDY7W" TargetMode="External"/><Relationship Id="rId87" Type="http://schemas.openxmlformats.org/officeDocument/2006/relationships/hyperlink" Target="https://lnkd.in/p/gK7Te5v2" TargetMode="External"/><Relationship Id="rId89" Type="http://schemas.openxmlformats.org/officeDocument/2006/relationships/hyperlink" Target="https://lnkd.in/p/gWiewKyr" TargetMode="External"/><Relationship Id="rId80" Type="http://schemas.openxmlformats.org/officeDocument/2006/relationships/hyperlink" Target="https://lnkd.in/p/g-c6cZzM" TargetMode="External"/><Relationship Id="rId82" Type="http://schemas.openxmlformats.org/officeDocument/2006/relationships/hyperlink" Target="https://lnkd.in/p/g8gYmrJ9" TargetMode="External"/><Relationship Id="rId81" Type="http://schemas.openxmlformats.org/officeDocument/2006/relationships/hyperlink" Target="https://lnkd.in/p/gfRHwvBx" TargetMode="External"/><Relationship Id="rId1" Type="http://schemas.openxmlformats.org/officeDocument/2006/relationships/hyperlink" Target="https://lnkd.in/p/gCrdEkRu" TargetMode="External"/><Relationship Id="rId2" Type="http://schemas.openxmlformats.org/officeDocument/2006/relationships/hyperlink" Target="https://lnkd.in/p/gTGeaBU2" TargetMode="External"/><Relationship Id="rId3" Type="http://schemas.openxmlformats.org/officeDocument/2006/relationships/hyperlink" Target="https://lnkd.in/p/gH-VbRt8" TargetMode="External"/><Relationship Id="rId4" Type="http://schemas.openxmlformats.org/officeDocument/2006/relationships/hyperlink" Target="https://lnkd.in/p/gD8dacUF" TargetMode="External"/><Relationship Id="rId148" Type="http://schemas.openxmlformats.org/officeDocument/2006/relationships/drawing" Target="../drawings/drawing1.xml"/><Relationship Id="rId9" Type="http://schemas.openxmlformats.org/officeDocument/2006/relationships/hyperlink" Target="https://lnkd.in/p/gpCZF5i2" TargetMode="External"/><Relationship Id="rId143" Type="http://schemas.openxmlformats.org/officeDocument/2006/relationships/hyperlink" Target="https://lnkd.in/p/gMxeHaS9" TargetMode="External"/><Relationship Id="rId142" Type="http://schemas.openxmlformats.org/officeDocument/2006/relationships/hyperlink" Target="https://lnkd.in/p/gk4wu4ny" TargetMode="External"/><Relationship Id="rId141" Type="http://schemas.openxmlformats.org/officeDocument/2006/relationships/hyperlink" Target="https://lnkd.in/p/g_ufN5Aw" TargetMode="External"/><Relationship Id="rId140" Type="http://schemas.openxmlformats.org/officeDocument/2006/relationships/hyperlink" Target="https://lnkd.in/p/gZgndNfQ" TargetMode="External"/><Relationship Id="rId5" Type="http://schemas.openxmlformats.org/officeDocument/2006/relationships/hyperlink" Target="https://lnkd.in/p/gxBy4CPj" TargetMode="External"/><Relationship Id="rId147" Type="http://schemas.openxmlformats.org/officeDocument/2006/relationships/hyperlink" Target="https://lnkd.in/p/g9APSbHN" TargetMode="External"/><Relationship Id="rId6" Type="http://schemas.openxmlformats.org/officeDocument/2006/relationships/hyperlink" Target="https://lnkd.in/p/gBgN_rgv" TargetMode="External"/><Relationship Id="rId146" Type="http://schemas.openxmlformats.org/officeDocument/2006/relationships/hyperlink" Target="https://lnkd.in/p/gFgu3VR5" TargetMode="External"/><Relationship Id="rId7" Type="http://schemas.openxmlformats.org/officeDocument/2006/relationships/hyperlink" Target="https://lnkd.in/p/gKA-Pb56" TargetMode="External"/><Relationship Id="rId145" Type="http://schemas.openxmlformats.org/officeDocument/2006/relationships/hyperlink" Target="https://lnkd.in/p/geP_6sM7" TargetMode="External"/><Relationship Id="rId8" Type="http://schemas.openxmlformats.org/officeDocument/2006/relationships/hyperlink" Target="https://lnkd.in/p/gWnUyKAu" TargetMode="External"/><Relationship Id="rId144" Type="http://schemas.openxmlformats.org/officeDocument/2006/relationships/hyperlink" Target="https://lnkd.in/p/gtfdqMEY" TargetMode="External"/><Relationship Id="rId73" Type="http://schemas.openxmlformats.org/officeDocument/2006/relationships/hyperlink" Target="https://lnkd.in/p/gZgGRZs9" TargetMode="External"/><Relationship Id="rId72" Type="http://schemas.openxmlformats.org/officeDocument/2006/relationships/hyperlink" Target="https://lnkd.in/p/gYGUKRiU" TargetMode="External"/><Relationship Id="rId75" Type="http://schemas.openxmlformats.org/officeDocument/2006/relationships/hyperlink" Target="https://lnkd.in/p/gNQ7HdrS" TargetMode="External"/><Relationship Id="rId74" Type="http://schemas.openxmlformats.org/officeDocument/2006/relationships/hyperlink" Target="https://lnkd.in/p/gBXcn9H8" TargetMode="External"/><Relationship Id="rId77" Type="http://schemas.openxmlformats.org/officeDocument/2006/relationships/hyperlink" Target="https://lnkd.in/p/g9jBy9Gs" TargetMode="External"/><Relationship Id="rId76" Type="http://schemas.openxmlformats.org/officeDocument/2006/relationships/hyperlink" Target="https://lnkd.in/p/g27CSECc" TargetMode="External"/><Relationship Id="rId79" Type="http://schemas.openxmlformats.org/officeDocument/2006/relationships/hyperlink" Target="https://lnkd.in/p/gSpxBzDQ" TargetMode="External"/><Relationship Id="rId78" Type="http://schemas.openxmlformats.org/officeDocument/2006/relationships/hyperlink" Target="https://lnkd.in/p/grF8Chsq" TargetMode="External"/><Relationship Id="rId71" Type="http://schemas.openxmlformats.org/officeDocument/2006/relationships/hyperlink" Target="https://lnkd.in/p/gfuQeAWC" TargetMode="External"/><Relationship Id="rId70" Type="http://schemas.openxmlformats.org/officeDocument/2006/relationships/hyperlink" Target="https://lnkd.in/p/gkxQgwk6" TargetMode="External"/><Relationship Id="rId139" Type="http://schemas.openxmlformats.org/officeDocument/2006/relationships/hyperlink" Target="https://lnkd.in/p/gfSPUnUp" TargetMode="External"/><Relationship Id="rId138" Type="http://schemas.openxmlformats.org/officeDocument/2006/relationships/hyperlink" Target="https://lnkd.in/p/ggMdwvmf" TargetMode="External"/><Relationship Id="rId137" Type="http://schemas.openxmlformats.org/officeDocument/2006/relationships/hyperlink" Target="https://lnkd.in/p/gQb_TxfG" TargetMode="External"/><Relationship Id="rId132" Type="http://schemas.openxmlformats.org/officeDocument/2006/relationships/hyperlink" Target="https://lnkd.in/p/gWCuiHhY" TargetMode="External"/><Relationship Id="rId131" Type="http://schemas.openxmlformats.org/officeDocument/2006/relationships/hyperlink" Target="https://lnkd.in/p/gduNd2ui" TargetMode="External"/><Relationship Id="rId130" Type="http://schemas.openxmlformats.org/officeDocument/2006/relationships/hyperlink" Target="https://lnkd.in/p/g_gJ8THh" TargetMode="External"/><Relationship Id="rId136" Type="http://schemas.openxmlformats.org/officeDocument/2006/relationships/hyperlink" Target="https://lnkd.in/p/gEYBFWUU" TargetMode="External"/><Relationship Id="rId135" Type="http://schemas.openxmlformats.org/officeDocument/2006/relationships/hyperlink" Target="https://lnkd.in/p/grMzkXwd" TargetMode="External"/><Relationship Id="rId134" Type="http://schemas.openxmlformats.org/officeDocument/2006/relationships/hyperlink" Target="https://lnkd.in/p/ghW_iT8p" TargetMode="External"/><Relationship Id="rId133" Type="http://schemas.openxmlformats.org/officeDocument/2006/relationships/hyperlink" Target="https://lnkd.in/p/g8PXbgUE" TargetMode="External"/><Relationship Id="rId62" Type="http://schemas.openxmlformats.org/officeDocument/2006/relationships/hyperlink" Target="https://lnkd.in/p/gtARUn4f" TargetMode="External"/><Relationship Id="rId61" Type="http://schemas.openxmlformats.org/officeDocument/2006/relationships/hyperlink" Target="https://lnkd.in/p/gTutfeZp" TargetMode="External"/><Relationship Id="rId64" Type="http://schemas.openxmlformats.org/officeDocument/2006/relationships/hyperlink" Target="https://lnkd.in/p/gCqVcbJU" TargetMode="External"/><Relationship Id="rId63" Type="http://schemas.openxmlformats.org/officeDocument/2006/relationships/hyperlink" Target="https://lnkd.in/p/gjfBRZ_S" TargetMode="External"/><Relationship Id="rId66" Type="http://schemas.openxmlformats.org/officeDocument/2006/relationships/hyperlink" Target="https://lnkd.in/p/gxHYBfti" TargetMode="External"/><Relationship Id="rId65" Type="http://schemas.openxmlformats.org/officeDocument/2006/relationships/hyperlink" Target="https://lnkd.in/p/gpTGEkHn" TargetMode="External"/><Relationship Id="rId68" Type="http://schemas.openxmlformats.org/officeDocument/2006/relationships/hyperlink" Target="https://lnkd.in/p/gh_WEZkS" TargetMode="External"/><Relationship Id="rId67" Type="http://schemas.openxmlformats.org/officeDocument/2006/relationships/hyperlink" Target="https://lnkd.in/p/gHFfMnQU" TargetMode="External"/><Relationship Id="rId60" Type="http://schemas.openxmlformats.org/officeDocument/2006/relationships/hyperlink" Target="https://lnkd.in/p/gM_dZJgB" TargetMode="External"/><Relationship Id="rId69" Type="http://schemas.openxmlformats.org/officeDocument/2006/relationships/hyperlink" Target="https://lnkd.in/p/gDjfTBMg" TargetMode="External"/><Relationship Id="rId51" Type="http://schemas.openxmlformats.org/officeDocument/2006/relationships/hyperlink" Target="https://lnkd.in/p/g7x56yuA" TargetMode="External"/><Relationship Id="rId50" Type="http://schemas.openxmlformats.org/officeDocument/2006/relationships/hyperlink" Target="https://lnkd.in/p/gxv47gnJ" TargetMode="External"/><Relationship Id="rId53" Type="http://schemas.openxmlformats.org/officeDocument/2006/relationships/hyperlink" Target="https://lnkd.in/p/geYHh4jx" TargetMode="External"/><Relationship Id="rId52" Type="http://schemas.openxmlformats.org/officeDocument/2006/relationships/hyperlink" Target="https://lnkd.in/p/grysUGxb" TargetMode="External"/><Relationship Id="rId55" Type="http://schemas.openxmlformats.org/officeDocument/2006/relationships/hyperlink" Target="https://lnkd.in/p/gusJREcG" TargetMode="External"/><Relationship Id="rId54" Type="http://schemas.openxmlformats.org/officeDocument/2006/relationships/hyperlink" Target="https://lnkd.in/p/gYeKxuwh" TargetMode="External"/><Relationship Id="rId57" Type="http://schemas.openxmlformats.org/officeDocument/2006/relationships/hyperlink" Target="https://lnkd.in/p/gk384mBS" TargetMode="External"/><Relationship Id="rId56" Type="http://schemas.openxmlformats.org/officeDocument/2006/relationships/hyperlink" Target="https://lnkd.in/p/gZrxdVTs" TargetMode="External"/><Relationship Id="rId59" Type="http://schemas.openxmlformats.org/officeDocument/2006/relationships/hyperlink" Target="https://lnkd.in/p/g7azybKJ" TargetMode="External"/><Relationship Id="rId58" Type="http://schemas.openxmlformats.org/officeDocument/2006/relationships/hyperlink" Target="https://lnkd.in/p/g6q9Prs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0"/>
    <col customWidth="1" min="2" max="2" width="34.0"/>
    <col customWidth="1" min="3" max="3" width="9.0"/>
    <col customWidth="1" min="4" max="5" width="10.0"/>
    <col customWidth="1" min="6" max="6" width="9.0"/>
    <col customWidth="1" min="7" max="7" width="13.0"/>
    <col customWidth="1" min="8" max="8" width="17.0"/>
    <col customWidth="1" min="9" max="9" width="12.0"/>
    <col customWidth="1" min="10" max="10" width="24.0"/>
    <col customWidth="1" min="11" max="11" width="55.0"/>
    <col customWidth="1" min="12" max="26" width="8.71"/>
  </cols>
  <sheetData>
    <row r="1">
      <c r="A1" s="1" t="s">
        <v>3</v>
      </c>
    </row>
    <row r="2">
      <c r="A2" s="2" t="s">
        <v>9</v>
      </c>
    </row>
    <row r="4">
      <c r="A4" s="3" t="s">
        <v>10</v>
      </c>
      <c r="B4" s="3" t="s">
        <v>11</v>
      </c>
      <c r="C4" s="3" t="s">
        <v>12</v>
      </c>
      <c r="D4" s="3" t="s">
        <v>14</v>
      </c>
      <c r="E4" s="3" t="s">
        <v>15</v>
      </c>
      <c r="F4" s="3" t="s">
        <v>16</v>
      </c>
      <c r="G4" s="3" t="s">
        <v>5</v>
      </c>
      <c r="H4" s="3" t="s">
        <v>2</v>
      </c>
      <c r="I4" s="3" t="s">
        <v>18</v>
      </c>
      <c r="J4" s="3" t="s">
        <v>19</v>
      </c>
      <c r="K4" s="3" t="s">
        <v>20</v>
      </c>
    </row>
    <row r="5">
      <c r="A5" s="4" t="s">
        <v>21</v>
      </c>
      <c r="B5" s="4" t="s">
        <v>23</v>
      </c>
      <c r="C5" s="4" t="s">
        <v>24</v>
      </c>
      <c r="D5" s="5">
        <v>4.0</v>
      </c>
      <c r="E5" s="5">
        <v>0.0</v>
      </c>
      <c r="F5" s="5">
        <v>0.0</v>
      </c>
      <c r="G5" s="5">
        <f t="shared" ref="G5:G151" si="1">D5+E5+F5</f>
        <v>4</v>
      </c>
      <c r="H5" s="4" t="s">
        <v>26</v>
      </c>
      <c r="I5" s="4" t="s">
        <v>27</v>
      </c>
      <c r="J5" s="8" t="s">
        <v>28</v>
      </c>
      <c r="K5" s="4" t="s">
        <v>33</v>
      </c>
    </row>
    <row r="6">
      <c r="A6" s="4" t="s">
        <v>34</v>
      </c>
      <c r="B6" s="4" t="s">
        <v>35</v>
      </c>
      <c r="C6" s="4" t="s">
        <v>24</v>
      </c>
      <c r="D6" s="5">
        <v>1.0</v>
      </c>
      <c r="E6" s="5">
        <v>0.0</v>
      </c>
      <c r="F6" s="5">
        <v>1.0</v>
      </c>
      <c r="G6" s="5">
        <f t="shared" si="1"/>
        <v>2</v>
      </c>
      <c r="H6" s="4" t="s">
        <v>37</v>
      </c>
      <c r="I6" s="4" t="s">
        <v>27</v>
      </c>
      <c r="J6" s="8" t="s">
        <v>38</v>
      </c>
      <c r="K6" s="4" t="s">
        <v>40</v>
      </c>
    </row>
    <row r="7">
      <c r="A7" s="4" t="s">
        <v>42</v>
      </c>
      <c r="B7" s="4" t="s">
        <v>43</v>
      </c>
      <c r="C7" s="4" t="s">
        <v>44</v>
      </c>
      <c r="D7" s="5">
        <v>0.0</v>
      </c>
      <c r="E7" s="5">
        <v>0.0</v>
      </c>
      <c r="F7" s="5">
        <v>0.0</v>
      </c>
      <c r="G7" s="5">
        <f t="shared" si="1"/>
        <v>0</v>
      </c>
      <c r="H7" s="4" t="s">
        <v>45</v>
      </c>
      <c r="I7" s="4" t="s">
        <v>27</v>
      </c>
      <c r="J7" s="8" t="s">
        <v>46</v>
      </c>
      <c r="K7" s="4" t="s">
        <v>48</v>
      </c>
    </row>
    <row r="8">
      <c r="A8" s="4" t="s">
        <v>50</v>
      </c>
      <c r="B8" s="4" t="s">
        <v>51</v>
      </c>
      <c r="C8" s="4" t="s">
        <v>52</v>
      </c>
      <c r="D8" s="5">
        <v>1.0</v>
      </c>
      <c r="E8" s="5">
        <v>0.0</v>
      </c>
      <c r="F8" s="5">
        <v>0.0</v>
      </c>
      <c r="G8" s="5">
        <f t="shared" si="1"/>
        <v>1</v>
      </c>
      <c r="H8" s="4" t="s">
        <v>37</v>
      </c>
      <c r="I8" s="4" t="s">
        <v>53</v>
      </c>
      <c r="J8" s="8" t="s">
        <v>54</v>
      </c>
      <c r="K8" s="4" t="s">
        <v>60</v>
      </c>
    </row>
    <row r="9">
      <c r="A9" s="4" t="s">
        <v>49</v>
      </c>
      <c r="B9" s="4" t="s">
        <v>61</v>
      </c>
      <c r="C9" s="4" t="s">
        <v>62</v>
      </c>
      <c r="D9" s="5">
        <v>8.0</v>
      </c>
      <c r="E9" s="5">
        <v>11.0</v>
      </c>
      <c r="F9" s="5">
        <v>0.0</v>
      </c>
      <c r="G9" s="5">
        <f t="shared" si="1"/>
        <v>19</v>
      </c>
      <c r="H9" s="4" t="s">
        <v>37</v>
      </c>
      <c r="I9" s="4" t="s">
        <v>27</v>
      </c>
      <c r="J9" s="8" t="s">
        <v>64</v>
      </c>
      <c r="K9" s="4" t="s">
        <v>66</v>
      </c>
    </row>
    <row r="10">
      <c r="A10" s="4" t="s">
        <v>67</v>
      </c>
      <c r="B10" s="4" t="s">
        <v>68</v>
      </c>
      <c r="C10" s="4" t="s">
        <v>69</v>
      </c>
      <c r="D10" s="5">
        <v>0.0</v>
      </c>
      <c r="E10" s="5">
        <v>0.0</v>
      </c>
      <c r="F10" s="5">
        <v>0.0</v>
      </c>
      <c r="G10" s="5">
        <f t="shared" si="1"/>
        <v>0</v>
      </c>
      <c r="H10" s="4" t="s">
        <v>26</v>
      </c>
      <c r="I10" s="4" t="s">
        <v>27</v>
      </c>
      <c r="J10" s="8" t="s">
        <v>71</v>
      </c>
      <c r="K10" s="4" t="s">
        <v>74</v>
      </c>
    </row>
    <row r="11">
      <c r="A11" s="4" t="s">
        <v>34</v>
      </c>
      <c r="B11" s="4" t="s">
        <v>35</v>
      </c>
      <c r="C11" s="4" t="s">
        <v>75</v>
      </c>
      <c r="D11" s="5">
        <v>1.0</v>
      </c>
      <c r="E11" s="5">
        <v>0.0</v>
      </c>
      <c r="F11" s="5">
        <v>1.0</v>
      </c>
      <c r="G11" s="5">
        <f t="shared" si="1"/>
        <v>2</v>
      </c>
      <c r="H11" s="4" t="s">
        <v>37</v>
      </c>
      <c r="I11" s="4" t="s">
        <v>27</v>
      </c>
      <c r="J11" s="8" t="s">
        <v>76</v>
      </c>
      <c r="K11" s="4" t="s">
        <v>78</v>
      </c>
    </row>
    <row r="12">
      <c r="A12" s="4" t="s">
        <v>80</v>
      </c>
      <c r="B12" s="4" t="s">
        <v>81</v>
      </c>
      <c r="C12" s="4" t="s">
        <v>82</v>
      </c>
      <c r="D12" s="5">
        <v>0.0</v>
      </c>
      <c r="E12" s="5">
        <v>0.0</v>
      </c>
      <c r="F12" s="5">
        <v>0.0</v>
      </c>
      <c r="G12" s="5">
        <f t="shared" si="1"/>
        <v>0</v>
      </c>
      <c r="H12" s="4" t="s">
        <v>37</v>
      </c>
      <c r="I12" s="4" t="s">
        <v>27</v>
      </c>
      <c r="J12" s="8" t="s">
        <v>83</v>
      </c>
      <c r="K12" s="4" t="s">
        <v>84</v>
      </c>
    </row>
    <row r="13">
      <c r="A13" s="4" t="s">
        <v>70</v>
      </c>
      <c r="B13" s="4" t="s">
        <v>85</v>
      </c>
      <c r="C13" s="4" t="s">
        <v>82</v>
      </c>
      <c r="D13" s="5">
        <v>40.0</v>
      </c>
      <c r="E13" s="5">
        <v>12.0</v>
      </c>
      <c r="F13" s="5">
        <v>3.0</v>
      </c>
      <c r="G13" s="5">
        <f t="shared" si="1"/>
        <v>55</v>
      </c>
      <c r="H13" s="4" t="s">
        <v>37</v>
      </c>
      <c r="I13" s="4" t="s">
        <v>27</v>
      </c>
      <c r="J13" s="8" t="s">
        <v>86</v>
      </c>
      <c r="K13" s="4" t="s">
        <v>87</v>
      </c>
    </row>
    <row r="14">
      <c r="A14" s="4" t="s">
        <v>88</v>
      </c>
      <c r="B14" s="4" t="s">
        <v>89</v>
      </c>
      <c r="C14" s="4" t="s">
        <v>90</v>
      </c>
      <c r="D14" s="5">
        <v>28.0</v>
      </c>
      <c r="E14" s="5">
        <v>1.0</v>
      </c>
      <c r="F14" s="5">
        <v>0.0</v>
      </c>
      <c r="G14" s="5">
        <f t="shared" si="1"/>
        <v>29</v>
      </c>
      <c r="H14" s="4" t="s">
        <v>37</v>
      </c>
      <c r="I14" s="4" t="s">
        <v>27</v>
      </c>
      <c r="J14" s="8" t="s">
        <v>91</v>
      </c>
      <c r="K14" s="4" t="s">
        <v>92</v>
      </c>
    </row>
    <row r="15">
      <c r="A15" s="4" t="s">
        <v>56</v>
      </c>
      <c r="B15" s="4" t="s">
        <v>94</v>
      </c>
      <c r="C15" s="4" t="s">
        <v>90</v>
      </c>
      <c r="D15" s="5">
        <v>23.0</v>
      </c>
      <c r="E15" s="5">
        <v>42.0</v>
      </c>
      <c r="F15" s="5">
        <v>0.0</v>
      </c>
      <c r="G15" s="5">
        <f t="shared" si="1"/>
        <v>65</v>
      </c>
      <c r="H15" s="4" t="s">
        <v>37</v>
      </c>
      <c r="I15" s="4" t="s">
        <v>27</v>
      </c>
      <c r="J15" s="8" t="s">
        <v>95</v>
      </c>
      <c r="K15" s="4" t="s">
        <v>96</v>
      </c>
    </row>
    <row r="16">
      <c r="A16" s="4" t="s">
        <v>34</v>
      </c>
      <c r="B16" s="4" t="s">
        <v>35</v>
      </c>
      <c r="C16" s="4" t="s">
        <v>98</v>
      </c>
      <c r="D16" s="5">
        <v>1.0</v>
      </c>
      <c r="E16" s="5">
        <v>0.0</v>
      </c>
      <c r="F16" s="5">
        <v>3.0</v>
      </c>
      <c r="G16" s="5">
        <f t="shared" si="1"/>
        <v>4</v>
      </c>
      <c r="H16" s="4" t="s">
        <v>37</v>
      </c>
      <c r="I16" s="4" t="s">
        <v>27</v>
      </c>
      <c r="J16" s="8" t="s">
        <v>99</v>
      </c>
      <c r="K16" s="4" t="s">
        <v>100</v>
      </c>
    </row>
    <row r="17">
      <c r="A17" s="4" t="s">
        <v>41</v>
      </c>
      <c r="B17" s="4" t="s">
        <v>101</v>
      </c>
      <c r="C17" s="4" t="s">
        <v>90</v>
      </c>
      <c r="D17" s="5">
        <v>30.0</v>
      </c>
      <c r="E17" s="5">
        <v>16.0</v>
      </c>
      <c r="F17" s="5">
        <v>1.0</v>
      </c>
      <c r="G17" s="5">
        <f t="shared" si="1"/>
        <v>47</v>
      </c>
      <c r="H17" s="4" t="s">
        <v>45</v>
      </c>
      <c r="I17" s="4" t="s">
        <v>27</v>
      </c>
      <c r="J17" s="8" t="s">
        <v>103</v>
      </c>
      <c r="K17" s="4" t="s">
        <v>104</v>
      </c>
    </row>
    <row r="18">
      <c r="A18" s="4" t="s">
        <v>67</v>
      </c>
      <c r="B18" s="4" t="s">
        <v>68</v>
      </c>
      <c r="C18" s="4" t="s">
        <v>105</v>
      </c>
      <c r="D18" s="5">
        <v>0.0</v>
      </c>
      <c r="E18" s="5">
        <v>0.0</v>
      </c>
      <c r="F18" s="5">
        <v>1.0</v>
      </c>
      <c r="G18" s="5">
        <f t="shared" si="1"/>
        <v>1</v>
      </c>
      <c r="H18" s="4" t="s">
        <v>26</v>
      </c>
      <c r="I18" s="4" t="s">
        <v>27</v>
      </c>
      <c r="J18" s="8" t="s">
        <v>107</v>
      </c>
      <c r="K18" s="4" t="s">
        <v>108</v>
      </c>
    </row>
    <row r="19">
      <c r="A19" s="4" t="s">
        <v>109</v>
      </c>
      <c r="B19" s="4" t="s">
        <v>110</v>
      </c>
      <c r="C19" s="4" t="s">
        <v>105</v>
      </c>
      <c r="D19" s="5">
        <v>22.0</v>
      </c>
      <c r="E19" s="5">
        <v>5.0</v>
      </c>
      <c r="F19" s="5">
        <v>2.0</v>
      </c>
      <c r="G19" s="5">
        <f t="shared" si="1"/>
        <v>29</v>
      </c>
      <c r="H19" s="4" t="s">
        <v>26</v>
      </c>
      <c r="I19" s="4" t="s">
        <v>27</v>
      </c>
      <c r="J19" s="8" t="s">
        <v>112</v>
      </c>
      <c r="K19" s="4" t="s">
        <v>113</v>
      </c>
    </row>
    <row r="20">
      <c r="A20" s="4" t="s">
        <v>25</v>
      </c>
      <c r="B20" s="4" t="s">
        <v>114</v>
      </c>
      <c r="C20" s="4" t="s">
        <v>115</v>
      </c>
      <c r="D20" s="5">
        <v>7.0</v>
      </c>
      <c r="E20" s="5">
        <v>3.0</v>
      </c>
      <c r="F20" s="5">
        <v>0.0</v>
      </c>
      <c r="G20" s="5">
        <f t="shared" si="1"/>
        <v>10</v>
      </c>
      <c r="H20" s="4" t="s">
        <v>37</v>
      </c>
      <c r="I20" s="4" t="s">
        <v>27</v>
      </c>
      <c r="J20" s="8" t="s">
        <v>116</v>
      </c>
      <c r="K20" s="4" t="s">
        <v>117</v>
      </c>
    </row>
    <row r="21" ht="15.75" customHeight="1">
      <c r="A21" s="4" t="s">
        <v>34</v>
      </c>
      <c r="B21" s="4" t="s">
        <v>35</v>
      </c>
      <c r="C21" s="4" t="s">
        <v>105</v>
      </c>
      <c r="D21" s="5">
        <v>1.0</v>
      </c>
      <c r="E21" s="5">
        <v>0.0</v>
      </c>
      <c r="F21" s="5">
        <v>1.0</v>
      </c>
      <c r="G21" s="5">
        <f t="shared" si="1"/>
        <v>2</v>
      </c>
      <c r="H21" s="4" t="s">
        <v>37</v>
      </c>
      <c r="I21" s="4" t="s">
        <v>27</v>
      </c>
      <c r="J21" s="8" t="s">
        <v>118</v>
      </c>
      <c r="K21" s="4" t="s">
        <v>119</v>
      </c>
    </row>
    <row r="22" ht="15.75" customHeight="1">
      <c r="A22" s="4" t="s">
        <v>49</v>
      </c>
      <c r="B22" s="4" t="s">
        <v>61</v>
      </c>
      <c r="C22" s="4" t="s">
        <v>115</v>
      </c>
      <c r="D22" s="5">
        <v>28.0</v>
      </c>
      <c r="E22" s="5">
        <v>18.0</v>
      </c>
      <c r="F22" s="5">
        <v>0.0</v>
      </c>
      <c r="G22" s="5">
        <f t="shared" si="1"/>
        <v>46</v>
      </c>
      <c r="H22" s="4" t="s">
        <v>37</v>
      </c>
      <c r="I22" s="4" t="s">
        <v>27</v>
      </c>
      <c r="J22" s="8" t="s">
        <v>120</v>
      </c>
      <c r="K22" s="4" t="s">
        <v>122</v>
      </c>
    </row>
    <row r="23" ht="15.75" customHeight="1">
      <c r="A23" s="4" t="s">
        <v>31</v>
      </c>
      <c r="B23" s="4" t="s">
        <v>123</v>
      </c>
      <c r="C23" s="4" t="s">
        <v>124</v>
      </c>
      <c r="D23" s="5">
        <v>1.0</v>
      </c>
      <c r="E23" s="5">
        <v>0.0</v>
      </c>
      <c r="F23" s="5">
        <v>0.0</v>
      </c>
      <c r="G23" s="5">
        <f t="shared" si="1"/>
        <v>1</v>
      </c>
      <c r="H23" s="4" t="s">
        <v>37</v>
      </c>
      <c r="I23" s="4" t="s">
        <v>53</v>
      </c>
      <c r="J23" s="8" t="s">
        <v>125</v>
      </c>
      <c r="K23" s="4" t="s">
        <v>127</v>
      </c>
    </row>
    <row r="24" ht="15.75" customHeight="1">
      <c r="A24" s="4" t="s">
        <v>128</v>
      </c>
      <c r="B24" s="4" t="s">
        <v>129</v>
      </c>
      <c r="C24" s="4" t="s">
        <v>124</v>
      </c>
      <c r="D24" s="5">
        <v>1.0</v>
      </c>
      <c r="E24" s="5">
        <v>1.0</v>
      </c>
      <c r="F24" s="5">
        <v>0.0</v>
      </c>
      <c r="G24" s="5">
        <f t="shared" si="1"/>
        <v>2</v>
      </c>
      <c r="H24" s="4" t="s">
        <v>37</v>
      </c>
      <c r="I24" s="4" t="s">
        <v>53</v>
      </c>
      <c r="J24" s="8" t="s">
        <v>130</v>
      </c>
      <c r="K24" s="4" t="s">
        <v>132</v>
      </c>
    </row>
    <row r="25" ht="15.75" customHeight="1">
      <c r="A25" s="4" t="s">
        <v>34</v>
      </c>
      <c r="B25" s="4" t="s">
        <v>35</v>
      </c>
      <c r="C25" s="4" t="s">
        <v>115</v>
      </c>
      <c r="D25" s="5">
        <v>1.0</v>
      </c>
      <c r="E25" s="5">
        <v>0.0</v>
      </c>
      <c r="F25" s="5">
        <v>1.0</v>
      </c>
      <c r="G25" s="5">
        <f t="shared" si="1"/>
        <v>2</v>
      </c>
      <c r="H25" s="4" t="s">
        <v>37</v>
      </c>
      <c r="I25" s="4" t="s">
        <v>27</v>
      </c>
      <c r="J25" s="8" t="s">
        <v>133</v>
      </c>
      <c r="K25" s="4" t="s">
        <v>135</v>
      </c>
    </row>
    <row r="26" ht="15.75" customHeight="1">
      <c r="A26" s="4" t="s">
        <v>136</v>
      </c>
      <c r="B26" s="4" t="s">
        <v>137</v>
      </c>
      <c r="C26" s="4" t="s">
        <v>138</v>
      </c>
      <c r="D26" s="5">
        <v>1.0</v>
      </c>
      <c r="E26" s="5">
        <v>0.0</v>
      </c>
      <c r="F26" s="5">
        <v>0.0</v>
      </c>
      <c r="G26" s="5">
        <f t="shared" si="1"/>
        <v>1</v>
      </c>
      <c r="H26" s="4" t="s">
        <v>37</v>
      </c>
      <c r="I26" s="4" t="s">
        <v>27</v>
      </c>
      <c r="J26" s="8" t="s">
        <v>139</v>
      </c>
      <c r="K26" s="4" t="s">
        <v>140</v>
      </c>
    </row>
    <row r="27" ht="15.75" customHeight="1">
      <c r="A27" s="4" t="s">
        <v>49</v>
      </c>
      <c r="B27" s="4" t="s">
        <v>61</v>
      </c>
      <c r="C27" s="4" t="s">
        <v>124</v>
      </c>
      <c r="D27" s="5">
        <v>38.0</v>
      </c>
      <c r="E27" s="5">
        <v>32.0</v>
      </c>
      <c r="F27" s="5">
        <v>0.0</v>
      </c>
      <c r="G27" s="5">
        <f t="shared" si="1"/>
        <v>70</v>
      </c>
      <c r="H27" s="4" t="s">
        <v>45</v>
      </c>
      <c r="I27" s="4" t="s">
        <v>27</v>
      </c>
      <c r="J27" s="8" t="s">
        <v>142</v>
      </c>
      <c r="K27" s="4" t="s">
        <v>143</v>
      </c>
    </row>
    <row r="28" ht="15.75" customHeight="1">
      <c r="A28" s="4" t="s">
        <v>77</v>
      </c>
      <c r="B28" s="4" t="s">
        <v>145</v>
      </c>
      <c r="C28" s="4" t="s">
        <v>138</v>
      </c>
      <c r="D28" s="5">
        <v>16.0</v>
      </c>
      <c r="E28" s="5">
        <v>1.0</v>
      </c>
      <c r="F28" s="5">
        <v>0.0</v>
      </c>
      <c r="G28" s="5">
        <f t="shared" si="1"/>
        <v>17</v>
      </c>
      <c r="H28" s="4" t="s">
        <v>37</v>
      </c>
      <c r="I28" s="4" t="s">
        <v>27</v>
      </c>
      <c r="J28" s="8" t="s">
        <v>146</v>
      </c>
      <c r="K28" s="4" t="s">
        <v>147</v>
      </c>
    </row>
    <row r="29" ht="15.75" customHeight="1">
      <c r="A29" s="4" t="s">
        <v>148</v>
      </c>
      <c r="B29" s="4" t="s">
        <v>150</v>
      </c>
      <c r="C29" s="4" t="s">
        <v>138</v>
      </c>
      <c r="D29" s="5">
        <v>0.0</v>
      </c>
      <c r="E29" s="5">
        <v>0.0</v>
      </c>
      <c r="F29" s="5">
        <v>0.0</v>
      </c>
      <c r="G29" s="5">
        <f t="shared" si="1"/>
        <v>0</v>
      </c>
      <c r="H29" s="4" t="s">
        <v>151</v>
      </c>
      <c r="I29" s="4" t="s">
        <v>27</v>
      </c>
      <c r="J29" s="8" t="s">
        <v>152</v>
      </c>
      <c r="K29" s="4" t="s">
        <v>154</v>
      </c>
    </row>
    <row r="30" ht="15.75" customHeight="1">
      <c r="A30" s="4" t="s">
        <v>67</v>
      </c>
      <c r="B30" s="4" t="s">
        <v>68</v>
      </c>
      <c r="C30" s="4" t="s">
        <v>138</v>
      </c>
      <c r="D30" s="5">
        <v>2.0</v>
      </c>
      <c r="E30" s="5">
        <v>0.0</v>
      </c>
      <c r="F30" s="5">
        <v>0.0</v>
      </c>
      <c r="G30" s="5">
        <f t="shared" si="1"/>
        <v>2</v>
      </c>
      <c r="H30" s="4" t="s">
        <v>26</v>
      </c>
      <c r="I30" s="4" t="s">
        <v>27</v>
      </c>
      <c r="J30" s="8" t="s">
        <v>155</v>
      </c>
      <c r="K30" s="4" t="s">
        <v>157</v>
      </c>
    </row>
    <row r="31" ht="15.75" customHeight="1">
      <c r="A31" s="4" t="s">
        <v>34</v>
      </c>
      <c r="B31" s="4" t="s">
        <v>35</v>
      </c>
      <c r="C31" s="4" t="s">
        <v>124</v>
      </c>
      <c r="D31" s="5">
        <v>1.0</v>
      </c>
      <c r="E31" s="5">
        <v>0.0</v>
      </c>
      <c r="F31" s="5">
        <v>1.0</v>
      </c>
      <c r="G31" s="5">
        <f t="shared" si="1"/>
        <v>2</v>
      </c>
      <c r="H31" s="4" t="s">
        <v>37</v>
      </c>
      <c r="I31" s="4" t="s">
        <v>27</v>
      </c>
      <c r="J31" s="8" t="s">
        <v>158</v>
      </c>
      <c r="K31" s="4" t="s">
        <v>159</v>
      </c>
    </row>
    <row r="32" ht="15.75" customHeight="1">
      <c r="A32" s="4" t="s">
        <v>93</v>
      </c>
      <c r="B32" s="4" t="s">
        <v>160</v>
      </c>
      <c r="C32" s="4" t="s">
        <v>138</v>
      </c>
      <c r="D32" s="5">
        <v>43.0</v>
      </c>
      <c r="E32" s="5">
        <v>4.0</v>
      </c>
      <c r="F32" s="5">
        <v>2.0</v>
      </c>
      <c r="G32" s="5">
        <f t="shared" si="1"/>
        <v>49</v>
      </c>
      <c r="H32" s="4" t="s">
        <v>45</v>
      </c>
      <c r="I32" s="4" t="s">
        <v>27</v>
      </c>
      <c r="J32" s="8" t="s">
        <v>161</v>
      </c>
      <c r="K32" s="4" t="s">
        <v>163</v>
      </c>
    </row>
    <row r="33" ht="15.75" customHeight="1">
      <c r="A33" s="4" t="s">
        <v>156</v>
      </c>
      <c r="B33" s="4" t="s">
        <v>164</v>
      </c>
      <c r="C33" s="4" t="s">
        <v>138</v>
      </c>
      <c r="D33" s="5">
        <v>12.0</v>
      </c>
      <c r="E33" s="5">
        <v>0.0</v>
      </c>
      <c r="F33" s="5">
        <v>5.0</v>
      </c>
      <c r="G33" s="5">
        <f t="shared" si="1"/>
        <v>17</v>
      </c>
      <c r="H33" s="4" t="s">
        <v>26</v>
      </c>
      <c r="I33" s="4" t="s">
        <v>27</v>
      </c>
      <c r="J33" s="8" t="s">
        <v>165</v>
      </c>
      <c r="K33" s="4" t="s">
        <v>167</v>
      </c>
    </row>
    <row r="34" ht="15.75" customHeight="1">
      <c r="A34" s="4" t="s">
        <v>50</v>
      </c>
      <c r="B34" s="4" t="s">
        <v>51</v>
      </c>
      <c r="C34" s="4" t="s">
        <v>138</v>
      </c>
      <c r="D34" s="5">
        <v>4.0</v>
      </c>
      <c r="E34" s="5">
        <v>0.0</v>
      </c>
      <c r="F34" s="5">
        <v>0.0</v>
      </c>
      <c r="G34" s="5">
        <f t="shared" si="1"/>
        <v>4</v>
      </c>
      <c r="H34" s="4" t="s">
        <v>26</v>
      </c>
      <c r="I34" s="4" t="s">
        <v>53</v>
      </c>
      <c r="J34" s="8" t="s">
        <v>168</v>
      </c>
      <c r="K34" s="4" t="s">
        <v>170</v>
      </c>
    </row>
    <row r="35" ht="15.75" customHeight="1">
      <c r="A35" s="4" t="s">
        <v>171</v>
      </c>
      <c r="B35" s="4" t="s">
        <v>172</v>
      </c>
      <c r="C35" s="4" t="s">
        <v>173</v>
      </c>
      <c r="D35" s="5">
        <v>0.0</v>
      </c>
      <c r="E35" s="5">
        <v>1.0</v>
      </c>
      <c r="F35" s="5">
        <v>0.0</v>
      </c>
      <c r="G35" s="5">
        <f t="shared" si="1"/>
        <v>1</v>
      </c>
      <c r="H35" s="4" t="s">
        <v>37</v>
      </c>
      <c r="I35" s="4" t="s">
        <v>53</v>
      </c>
      <c r="J35" s="8" t="s">
        <v>174</v>
      </c>
      <c r="K35" s="4" t="s">
        <v>176</v>
      </c>
    </row>
    <row r="36" ht="15.75" customHeight="1">
      <c r="A36" s="4" t="s">
        <v>34</v>
      </c>
      <c r="B36" s="4" t="s">
        <v>35</v>
      </c>
      <c r="C36" s="4" t="s">
        <v>173</v>
      </c>
      <c r="D36" s="5">
        <v>3.0</v>
      </c>
      <c r="E36" s="5">
        <v>0.0</v>
      </c>
      <c r="F36" s="5">
        <v>2.0</v>
      </c>
      <c r="G36" s="5">
        <f t="shared" si="1"/>
        <v>5</v>
      </c>
      <c r="H36" s="4" t="s">
        <v>37</v>
      </c>
      <c r="I36" s="4" t="s">
        <v>27</v>
      </c>
      <c r="J36" s="8" t="s">
        <v>177</v>
      </c>
      <c r="K36" s="4" t="s">
        <v>179</v>
      </c>
    </row>
    <row r="37" ht="15.75" customHeight="1">
      <c r="A37" s="4" t="s">
        <v>121</v>
      </c>
      <c r="B37" s="4" t="s">
        <v>180</v>
      </c>
      <c r="C37" s="4" t="s">
        <v>173</v>
      </c>
      <c r="D37" s="5">
        <v>15.0</v>
      </c>
      <c r="E37" s="5">
        <v>12.0</v>
      </c>
      <c r="F37" s="5">
        <v>2.0</v>
      </c>
      <c r="G37" s="5">
        <f t="shared" si="1"/>
        <v>29</v>
      </c>
      <c r="H37" s="4" t="s">
        <v>37</v>
      </c>
      <c r="I37" s="4" t="s">
        <v>27</v>
      </c>
      <c r="J37" s="8" t="s">
        <v>181</v>
      </c>
      <c r="K37" s="4" t="s">
        <v>182</v>
      </c>
    </row>
    <row r="38" ht="15.75" customHeight="1">
      <c r="A38" s="4" t="s">
        <v>41</v>
      </c>
      <c r="B38" s="4" t="s">
        <v>101</v>
      </c>
      <c r="C38" s="4" t="s">
        <v>173</v>
      </c>
      <c r="D38" s="5">
        <v>27.0</v>
      </c>
      <c r="E38" s="5">
        <v>14.0</v>
      </c>
      <c r="F38" s="5">
        <v>3.0</v>
      </c>
      <c r="G38" s="5">
        <f t="shared" si="1"/>
        <v>44</v>
      </c>
      <c r="H38" s="4" t="s">
        <v>45</v>
      </c>
      <c r="I38" s="4" t="s">
        <v>27</v>
      </c>
      <c r="J38" s="8" t="s">
        <v>183</v>
      </c>
      <c r="K38" s="4" t="s">
        <v>184</v>
      </c>
    </row>
    <row r="39" ht="15.75" customHeight="1">
      <c r="A39" s="4" t="s">
        <v>134</v>
      </c>
      <c r="B39" s="4" t="s">
        <v>185</v>
      </c>
      <c r="C39" s="4" t="s">
        <v>173</v>
      </c>
      <c r="D39" s="5">
        <v>16.0</v>
      </c>
      <c r="E39" s="5">
        <v>0.0</v>
      </c>
      <c r="F39" s="5">
        <v>4.0</v>
      </c>
      <c r="G39" s="5">
        <f t="shared" si="1"/>
        <v>20</v>
      </c>
      <c r="H39" s="4" t="s">
        <v>26</v>
      </c>
      <c r="I39" s="4" t="s">
        <v>27</v>
      </c>
      <c r="J39" s="8" t="s">
        <v>187</v>
      </c>
      <c r="K39" s="4" t="s">
        <v>188</v>
      </c>
    </row>
    <row r="40" ht="15.75" customHeight="1">
      <c r="A40" s="4" t="s">
        <v>79</v>
      </c>
      <c r="B40" s="4" t="s">
        <v>189</v>
      </c>
      <c r="C40" s="4" t="s">
        <v>173</v>
      </c>
      <c r="D40" s="5">
        <v>69.0</v>
      </c>
      <c r="E40" s="5">
        <v>5.0</v>
      </c>
      <c r="F40" s="5">
        <v>0.0</v>
      </c>
      <c r="G40" s="5">
        <f t="shared" si="1"/>
        <v>74</v>
      </c>
      <c r="H40" s="4" t="s">
        <v>37</v>
      </c>
      <c r="I40" s="4" t="s">
        <v>27</v>
      </c>
      <c r="J40" s="8" t="s">
        <v>191</v>
      </c>
      <c r="K40" s="4" t="s">
        <v>192</v>
      </c>
    </row>
    <row r="41" ht="15.75" customHeight="1">
      <c r="A41" s="4" t="s">
        <v>194</v>
      </c>
      <c r="B41" s="4" t="s">
        <v>195</v>
      </c>
      <c r="C41" s="4" t="s">
        <v>173</v>
      </c>
      <c r="D41" s="5">
        <v>3.0</v>
      </c>
      <c r="E41" s="5">
        <v>0.0</v>
      </c>
      <c r="F41" s="5">
        <v>0.0</v>
      </c>
      <c r="G41" s="5">
        <f t="shared" si="1"/>
        <v>3</v>
      </c>
      <c r="H41" s="4" t="s">
        <v>37</v>
      </c>
      <c r="I41" s="4" t="s">
        <v>27</v>
      </c>
      <c r="J41" s="8" t="s">
        <v>196</v>
      </c>
      <c r="K41" s="4" t="s">
        <v>197</v>
      </c>
    </row>
    <row r="42" ht="15.75" customHeight="1">
      <c r="A42" s="4" t="s">
        <v>126</v>
      </c>
      <c r="B42" s="4" t="s">
        <v>199</v>
      </c>
      <c r="C42" s="4" t="s">
        <v>173</v>
      </c>
      <c r="D42" s="5">
        <v>18.0</v>
      </c>
      <c r="E42" s="5">
        <v>5.0</v>
      </c>
      <c r="F42" s="5">
        <v>3.0</v>
      </c>
      <c r="G42" s="5">
        <f t="shared" si="1"/>
        <v>26</v>
      </c>
      <c r="H42" s="4" t="s">
        <v>37</v>
      </c>
      <c r="I42" s="4" t="s">
        <v>27</v>
      </c>
      <c r="J42" s="8" t="s">
        <v>200</v>
      </c>
      <c r="K42" s="4" t="s">
        <v>201</v>
      </c>
    </row>
    <row r="43" ht="15.75" customHeight="1">
      <c r="A43" s="4" t="s">
        <v>202</v>
      </c>
      <c r="B43" s="4" t="s">
        <v>203</v>
      </c>
      <c r="C43" s="4" t="s">
        <v>173</v>
      </c>
      <c r="D43" s="5">
        <v>5.0</v>
      </c>
      <c r="E43" s="5">
        <v>1.0</v>
      </c>
      <c r="F43" s="5">
        <v>0.0</v>
      </c>
      <c r="G43" s="5">
        <f t="shared" si="1"/>
        <v>6</v>
      </c>
      <c r="H43" s="4" t="s">
        <v>37</v>
      </c>
      <c r="I43" s="4" t="s">
        <v>53</v>
      </c>
      <c r="J43" s="8" t="s">
        <v>204</v>
      </c>
      <c r="K43" s="4" t="s">
        <v>205</v>
      </c>
    </row>
    <row r="44" ht="15.75" customHeight="1">
      <c r="A44" s="4" t="s">
        <v>34</v>
      </c>
      <c r="B44" s="4" t="s">
        <v>35</v>
      </c>
      <c r="C44" s="4" t="s">
        <v>173</v>
      </c>
      <c r="D44" s="5">
        <v>0.0</v>
      </c>
      <c r="E44" s="5">
        <v>0.0</v>
      </c>
      <c r="F44" s="5">
        <v>0.0</v>
      </c>
      <c r="G44" s="5">
        <f t="shared" si="1"/>
        <v>0</v>
      </c>
      <c r="H44" s="4" t="s">
        <v>37</v>
      </c>
      <c r="I44" s="4" t="s">
        <v>27</v>
      </c>
      <c r="J44" s="8" t="s">
        <v>206</v>
      </c>
      <c r="K44" s="4" t="s">
        <v>207</v>
      </c>
    </row>
    <row r="45" ht="15.75" customHeight="1">
      <c r="A45" s="4" t="s">
        <v>49</v>
      </c>
      <c r="B45" s="4" t="s">
        <v>61</v>
      </c>
      <c r="C45" s="4" t="s">
        <v>173</v>
      </c>
      <c r="D45" s="5">
        <v>37.0</v>
      </c>
      <c r="E45" s="5">
        <v>43.0</v>
      </c>
      <c r="F45" s="5">
        <v>1.0</v>
      </c>
      <c r="G45" s="5">
        <f t="shared" si="1"/>
        <v>81</v>
      </c>
      <c r="H45" s="4" t="s">
        <v>37</v>
      </c>
      <c r="I45" s="4" t="s">
        <v>27</v>
      </c>
      <c r="J45" s="8" t="s">
        <v>208</v>
      </c>
      <c r="K45" s="4" t="s">
        <v>209</v>
      </c>
    </row>
    <row r="46" ht="15.75" customHeight="1">
      <c r="A46" s="4" t="s">
        <v>25</v>
      </c>
      <c r="B46" s="4" t="s">
        <v>114</v>
      </c>
      <c r="C46" s="4" t="s">
        <v>173</v>
      </c>
      <c r="D46" s="5">
        <v>4.0</v>
      </c>
      <c r="E46" s="5">
        <v>0.0</v>
      </c>
      <c r="F46" s="5">
        <v>0.0</v>
      </c>
      <c r="G46" s="5">
        <f t="shared" si="1"/>
        <v>4</v>
      </c>
      <c r="H46" s="4" t="s">
        <v>26</v>
      </c>
      <c r="I46" s="4" t="s">
        <v>27</v>
      </c>
      <c r="J46" s="8" t="s">
        <v>211</v>
      </c>
      <c r="K46" s="4" t="s">
        <v>212</v>
      </c>
    </row>
    <row r="47" ht="15.75" customHeight="1">
      <c r="A47" s="4" t="s">
        <v>213</v>
      </c>
      <c r="B47" s="4" t="s">
        <v>214</v>
      </c>
      <c r="C47" s="4" t="s">
        <v>173</v>
      </c>
      <c r="D47" s="5">
        <v>0.0</v>
      </c>
      <c r="E47" s="5">
        <v>0.0</v>
      </c>
      <c r="F47" s="5">
        <v>0.0</v>
      </c>
      <c r="G47" s="5">
        <f t="shared" si="1"/>
        <v>0</v>
      </c>
      <c r="H47" s="4" t="s">
        <v>37</v>
      </c>
      <c r="I47" s="4" t="s">
        <v>53</v>
      </c>
      <c r="J47" s="8" t="s">
        <v>216</v>
      </c>
      <c r="K47" s="4" t="s">
        <v>217</v>
      </c>
    </row>
    <row r="48" ht="15.75" customHeight="1">
      <c r="A48" s="4" t="s">
        <v>210</v>
      </c>
      <c r="B48" s="4" t="s">
        <v>218</v>
      </c>
      <c r="C48" s="4" t="s">
        <v>173</v>
      </c>
      <c r="D48" s="5">
        <v>6.0</v>
      </c>
      <c r="E48" s="5">
        <v>0.0</v>
      </c>
      <c r="F48" s="5">
        <v>0.0</v>
      </c>
      <c r="G48" s="5">
        <f t="shared" si="1"/>
        <v>6</v>
      </c>
      <c r="H48" s="4" t="s">
        <v>45</v>
      </c>
      <c r="I48" s="4" t="s">
        <v>27</v>
      </c>
      <c r="J48" s="8" t="s">
        <v>219</v>
      </c>
      <c r="K48" s="4" t="s">
        <v>220</v>
      </c>
    </row>
    <row r="49" ht="15.75" customHeight="1">
      <c r="A49" s="4" t="s">
        <v>102</v>
      </c>
      <c r="B49" s="4" t="s">
        <v>221</v>
      </c>
      <c r="C49" s="4" t="s">
        <v>173</v>
      </c>
      <c r="D49" s="5">
        <v>10.0</v>
      </c>
      <c r="E49" s="5">
        <v>0.0</v>
      </c>
      <c r="F49" s="5">
        <v>0.0</v>
      </c>
      <c r="G49" s="5">
        <f t="shared" si="1"/>
        <v>10</v>
      </c>
      <c r="H49" s="4" t="s">
        <v>37</v>
      </c>
      <c r="I49" s="4" t="s">
        <v>53</v>
      </c>
      <c r="J49" s="8" t="s">
        <v>222</v>
      </c>
      <c r="K49" s="4" t="s">
        <v>223</v>
      </c>
    </row>
    <row r="50" ht="15.75" customHeight="1">
      <c r="A50" s="4" t="s">
        <v>34</v>
      </c>
      <c r="B50" s="4" t="s">
        <v>35</v>
      </c>
      <c r="C50" s="4" t="s">
        <v>173</v>
      </c>
      <c r="D50" s="5">
        <v>1.0</v>
      </c>
      <c r="E50" s="5">
        <v>0.0</v>
      </c>
      <c r="F50" s="5">
        <v>1.0</v>
      </c>
      <c r="G50" s="5">
        <f t="shared" si="1"/>
        <v>2</v>
      </c>
      <c r="H50" s="4" t="s">
        <v>37</v>
      </c>
      <c r="I50" s="4" t="s">
        <v>27</v>
      </c>
      <c r="J50" s="8" t="s">
        <v>225</v>
      </c>
      <c r="K50" s="4" t="s">
        <v>226</v>
      </c>
    </row>
    <row r="51" ht="15.75" customHeight="1">
      <c r="A51" s="4" t="s">
        <v>111</v>
      </c>
      <c r="B51" s="4" t="s">
        <v>227</v>
      </c>
      <c r="C51" s="4" t="s">
        <v>173</v>
      </c>
      <c r="D51" s="5">
        <v>26.0</v>
      </c>
      <c r="E51" s="5">
        <v>6.0</v>
      </c>
      <c r="F51" s="5">
        <v>0.0</v>
      </c>
      <c r="G51" s="5">
        <f t="shared" si="1"/>
        <v>32</v>
      </c>
      <c r="H51" s="4" t="s">
        <v>37</v>
      </c>
      <c r="I51" s="4" t="s">
        <v>53</v>
      </c>
      <c r="J51" s="8" t="s">
        <v>228</v>
      </c>
      <c r="K51" s="4" t="s">
        <v>229</v>
      </c>
    </row>
    <row r="52" ht="15.75" customHeight="1">
      <c r="A52" s="4" t="s">
        <v>25</v>
      </c>
      <c r="B52" s="4" t="s">
        <v>114</v>
      </c>
      <c r="C52" s="4" t="s">
        <v>173</v>
      </c>
      <c r="D52" s="5">
        <v>9.0</v>
      </c>
      <c r="E52" s="5">
        <v>4.0</v>
      </c>
      <c r="F52" s="5">
        <v>0.0</v>
      </c>
      <c r="G52" s="5">
        <f t="shared" si="1"/>
        <v>13</v>
      </c>
      <c r="H52" s="4" t="s">
        <v>45</v>
      </c>
      <c r="I52" s="4" t="s">
        <v>27</v>
      </c>
      <c r="J52" s="8" t="s">
        <v>231</v>
      </c>
      <c r="K52" s="4" t="s">
        <v>232</v>
      </c>
    </row>
    <row r="53" ht="15.75" customHeight="1">
      <c r="A53" s="4" t="s">
        <v>58</v>
      </c>
      <c r="B53" s="4" t="s">
        <v>233</v>
      </c>
      <c r="C53" s="4" t="s">
        <v>173</v>
      </c>
      <c r="D53" s="5">
        <v>37.0</v>
      </c>
      <c r="E53" s="5">
        <v>3.0</v>
      </c>
      <c r="F53" s="5">
        <v>1.0</v>
      </c>
      <c r="G53" s="5">
        <f t="shared" si="1"/>
        <v>41</v>
      </c>
      <c r="H53" s="4" t="s">
        <v>37</v>
      </c>
      <c r="I53" s="4" t="s">
        <v>53</v>
      </c>
      <c r="J53" s="8" t="s">
        <v>234</v>
      </c>
      <c r="K53" s="4" t="s">
        <v>235</v>
      </c>
    </row>
    <row r="54" ht="15.75" customHeight="1">
      <c r="A54" s="4" t="s">
        <v>153</v>
      </c>
      <c r="B54" s="4" t="s">
        <v>237</v>
      </c>
      <c r="C54" s="4" t="s">
        <v>173</v>
      </c>
      <c r="D54" s="5">
        <v>9.0</v>
      </c>
      <c r="E54" s="5">
        <v>1.0</v>
      </c>
      <c r="F54" s="5">
        <v>0.0</v>
      </c>
      <c r="G54" s="5">
        <f t="shared" si="1"/>
        <v>10</v>
      </c>
      <c r="H54" s="4" t="s">
        <v>26</v>
      </c>
      <c r="I54" s="4" t="s">
        <v>27</v>
      </c>
      <c r="J54" s="8" t="s">
        <v>238</v>
      </c>
      <c r="K54" s="4" t="s">
        <v>239</v>
      </c>
    </row>
    <row r="55" ht="15.75" customHeight="1">
      <c r="A55" s="4" t="s">
        <v>186</v>
      </c>
      <c r="B55" s="4" t="s">
        <v>241</v>
      </c>
      <c r="C55" s="4" t="s">
        <v>173</v>
      </c>
      <c r="D55" s="5">
        <v>7.0</v>
      </c>
      <c r="E55" s="5">
        <v>0.0</v>
      </c>
      <c r="F55" s="5">
        <v>1.0</v>
      </c>
      <c r="G55" s="5">
        <f t="shared" si="1"/>
        <v>8</v>
      </c>
      <c r="H55" s="4" t="s">
        <v>37</v>
      </c>
      <c r="I55" s="4" t="s">
        <v>27</v>
      </c>
      <c r="J55" s="8" t="s">
        <v>242</v>
      </c>
      <c r="K55" s="4" t="s">
        <v>244</v>
      </c>
    </row>
    <row r="56" ht="15.75" customHeight="1">
      <c r="A56" s="4" t="s">
        <v>148</v>
      </c>
      <c r="B56" s="4" t="s">
        <v>150</v>
      </c>
      <c r="C56" s="4" t="s">
        <v>173</v>
      </c>
      <c r="D56" s="5">
        <v>2.0</v>
      </c>
      <c r="E56" s="5">
        <v>1.0</v>
      </c>
      <c r="F56" s="5">
        <v>0.0</v>
      </c>
      <c r="G56" s="5">
        <f t="shared" si="1"/>
        <v>3</v>
      </c>
      <c r="H56" s="4" t="s">
        <v>151</v>
      </c>
      <c r="I56" s="4" t="s">
        <v>27</v>
      </c>
      <c r="J56" s="8" t="s">
        <v>245</v>
      </c>
      <c r="K56" s="4" t="s">
        <v>246</v>
      </c>
    </row>
    <row r="57" ht="15.75" customHeight="1">
      <c r="A57" s="4" t="s">
        <v>25</v>
      </c>
      <c r="B57" s="4" t="s">
        <v>114</v>
      </c>
      <c r="C57" s="4" t="s">
        <v>173</v>
      </c>
      <c r="D57" s="5">
        <v>4.0</v>
      </c>
      <c r="E57" s="5">
        <v>0.0</v>
      </c>
      <c r="F57" s="5">
        <v>0.0</v>
      </c>
      <c r="G57" s="5">
        <f t="shared" si="1"/>
        <v>4</v>
      </c>
      <c r="H57" s="4" t="s">
        <v>37</v>
      </c>
      <c r="I57" s="4" t="s">
        <v>27</v>
      </c>
      <c r="J57" s="8" t="s">
        <v>247</v>
      </c>
      <c r="K57" s="4" t="s">
        <v>249</v>
      </c>
    </row>
    <row r="58" ht="15.75" customHeight="1">
      <c r="A58" s="4" t="s">
        <v>58</v>
      </c>
      <c r="B58" s="4" t="s">
        <v>233</v>
      </c>
      <c r="C58" s="4" t="s">
        <v>173</v>
      </c>
      <c r="D58" s="5">
        <v>81.0</v>
      </c>
      <c r="E58" s="5">
        <v>16.0</v>
      </c>
      <c r="F58" s="5">
        <v>9.0</v>
      </c>
      <c r="G58" s="5">
        <f t="shared" si="1"/>
        <v>106</v>
      </c>
      <c r="H58" s="4" t="s">
        <v>37</v>
      </c>
      <c r="I58" s="4" t="s">
        <v>27</v>
      </c>
      <c r="J58" s="8" t="s">
        <v>250</v>
      </c>
      <c r="K58" s="4" t="s">
        <v>252</v>
      </c>
    </row>
    <row r="59" ht="15.75" customHeight="1">
      <c r="A59" s="4" t="s">
        <v>248</v>
      </c>
      <c r="B59" s="4" t="s">
        <v>253</v>
      </c>
      <c r="C59" s="4" t="s">
        <v>254</v>
      </c>
      <c r="D59" s="5">
        <v>1.0</v>
      </c>
      <c r="E59" s="5">
        <v>0.0</v>
      </c>
      <c r="F59" s="5">
        <v>0.0</v>
      </c>
      <c r="G59" s="5">
        <f t="shared" si="1"/>
        <v>1</v>
      </c>
      <c r="H59" s="4" t="s">
        <v>37</v>
      </c>
      <c r="I59" s="4" t="s">
        <v>27</v>
      </c>
      <c r="J59" s="8" t="s">
        <v>255</v>
      </c>
      <c r="K59" s="4" t="s">
        <v>257</v>
      </c>
    </row>
    <row r="60" ht="15.75" customHeight="1">
      <c r="A60" s="4" t="s">
        <v>131</v>
      </c>
      <c r="B60" s="4" t="s">
        <v>258</v>
      </c>
      <c r="C60" s="4" t="s">
        <v>254</v>
      </c>
      <c r="D60" s="5">
        <v>20.0</v>
      </c>
      <c r="E60" s="5">
        <v>1.0</v>
      </c>
      <c r="F60" s="5">
        <v>4.0</v>
      </c>
      <c r="G60" s="5">
        <f t="shared" si="1"/>
        <v>25</v>
      </c>
      <c r="H60" s="4" t="s">
        <v>37</v>
      </c>
      <c r="I60" s="4" t="s">
        <v>27</v>
      </c>
      <c r="J60" s="8" t="s">
        <v>260</v>
      </c>
      <c r="K60" s="4" t="s">
        <v>261</v>
      </c>
    </row>
    <row r="61" ht="15.75" customHeight="1">
      <c r="A61" s="4" t="s">
        <v>169</v>
      </c>
      <c r="B61" s="4" t="s">
        <v>262</v>
      </c>
      <c r="C61" s="4" t="s">
        <v>254</v>
      </c>
      <c r="D61" s="5">
        <v>12.0</v>
      </c>
      <c r="E61" s="5">
        <v>0.0</v>
      </c>
      <c r="F61" s="5">
        <v>0.0</v>
      </c>
      <c r="G61" s="5">
        <f t="shared" si="1"/>
        <v>12</v>
      </c>
      <c r="H61" s="4" t="s">
        <v>26</v>
      </c>
      <c r="I61" s="4" t="s">
        <v>53</v>
      </c>
      <c r="J61" s="8" t="s">
        <v>263</v>
      </c>
      <c r="K61" s="4" t="s">
        <v>264</v>
      </c>
    </row>
    <row r="62" ht="15.75" customHeight="1">
      <c r="A62" s="4" t="s">
        <v>153</v>
      </c>
      <c r="B62" s="4" t="s">
        <v>237</v>
      </c>
      <c r="C62" s="4" t="s">
        <v>254</v>
      </c>
      <c r="D62" s="5">
        <v>7.0</v>
      </c>
      <c r="E62" s="5">
        <v>1.0</v>
      </c>
      <c r="F62" s="5">
        <v>0.0</v>
      </c>
      <c r="G62" s="5">
        <f t="shared" si="1"/>
        <v>8</v>
      </c>
      <c r="H62" s="4" t="s">
        <v>45</v>
      </c>
      <c r="I62" s="4" t="s">
        <v>27</v>
      </c>
      <c r="J62" s="8" t="s">
        <v>266</v>
      </c>
      <c r="K62" s="4" t="s">
        <v>267</v>
      </c>
    </row>
    <row r="63" ht="15.75" customHeight="1">
      <c r="A63" s="4" t="s">
        <v>162</v>
      </c>
      <c r="B63" s="4" t="s">
        <v>268</v>
      </c>
      <c r="C63" s="4" t="s">
        <v>254</v>
      </c>
      <c r="D63" s="5">
        <v>12.0</v>
      </c>
      <c r="E63" s="5">
        <v>4.0</v>
      </c>
      <c r="F63" s="5">
        <v>0.0</v>
      </c>
      <c r="G63" s="5">
        <f t="shared" si="1"/>
        <v>16</v>
      </c>
      <c r="H63" s="4" t="s">
        <v>37</v>
      </c>
      <c r="I63" s="4" t="s">
        <v>53</v>
      </c>
      <c r="J63" s="8" t="s">
        <v>269</v>
      </c>
      <c r="K63" s="4" t="s">
        <v>271</v>
      </c>
    </row>
    <row r="64" ht="15.75" customHeight="1">
      <c r="A64" s="4" t="s">
        <v>34</v>
      </c>
      <c r="B64" s="4" t="s">
        <v>35</v>
      </c>
      <c r="C64" s="4" t="s">
        <v>254</v>
      </c>
      <c r="D64" s="5">
        <v>1.0</v>
      </c>
      <c r="E64" s="5">
        <v>0.0</v>
      </c>
      <c r="F64" s="5">
        <v>1.0</v>
      </c>
      <c r="G64" s="5">
        <f t="shared" si="1"/>
        <v>2</v>
      </c>
      <c r="H64" s="4" t="s">
        <v>37</v>
      </c>
      <c r="I64" s="4" t="s">
        <v>27</v>
      </c>
      <c r="J64" s="8" t="s">
        <v>272</v>
      </c>
      <c r="K64" s="4" t="s">
        <v>273</v>
      </c>
    </row>
    <row r="65" ht="15.75" customHeight="1">
      <c r="A65" s="4" t="s">
        <v>41</v>
      </c>
      <c r="B65" s="4" t="s">
        <v>101</v>
      </c>
      <c r="C65" s="4" t="s">
        <v>254</v>
      </c>
      <c r="D65" s="5">
        <v>57.0</v>
      </c>
      <c r="E65" s="5">
        <v>46.0</v>
      </c>
      <c r="F65" s="5">
        <v>0.0</v>
      </c>
      <c r="G65" s="5">
        <f t="shared" si="1"/>
        <v>103</v>
      </c>
      <c r="H65" s="4" t="s">
        <v>45</v>
      </c>
      <c r="I65" s="4" t="s">
        <v>27</v>
      </c>
      <c r="J65" s="8" t="s">
        <v>274</v>
      </c>
      <c r="K65" s="4" t="s">
        <v>275</v>
      </c>
    </row>
    <row r="66" ht="15.75" customHeight="1">
      <c r="A66" s="4" t="s">
        <v>193</v>
      </c>
      <c r="B66" s="4" t="s">
        <v>276</v>
      </c>
      <c r="C66" s="4" t="s">
        <v>173</v>
      </c>
      <c r="D66" s="5">
        <v>7.0</v>
      </c>
      <c r="E66" s="5">
        <v>0.0</v>
      </c>
      <c r="F66" s="5">
        <v>0.0</v>
      </c>
      <c r="G66" s="5">
        <f t="shared" si="1"/>
        <v>7</v>
      </c>
      <c r="H66" s="4" t="s">
        <v>45</v>
      </c>
      <c r="I66" s="4" t="s">
        <v>27</v>
      </c>
      <c r="J66" s="8" t="s">
        <v>277</v>
      </c>
      <c r="K66" s="4" t="s">
        <v>278</v>
      </c>
    </row>
    <row r="67" ht="15.75" customHeight="1">
      <c r="A67" s="4" t="s">
        <v>67</v>
      </c>
      <c r="B67" s="4" t="s">
        <v>68</v>
      </c>
      <c r="C67" s="4" t="s">
        <v>254</v>
      </c>
      <c r="D67" s="5">
        <v>2.0</v>
      </c>
      <c r="E67" s="5">
        <v>0.0</v>
      </c>
      <c r="F67" s="5">
        <v>0.0</v>
      </c>
      <c r="G67" s="5">
        <f t="shared" si="1"/>
        <v>2</v>
      </c>
      <c r="H67" s="4" t="s">
        <v>26</v>
      </c>
      <c r="I67" s="4" t="s">
        <v>27</v>
      </c>
      <c r="J67" s="8" t="s">
        <v>279</v>
      </c>
      <c r="K67" s="4" t="s">
        <v>281</v>
      </c>
    </row>
    <row r="68" ht="15.75" customHeight="1">
      <c r="A68" s="4" t="s">
        <v>198</v>
      </c>
      <c r="B68" s="4" t="s">
        <v>282</v>
      </c>
      <c r="C68" s="4" t="s">
        <v>254</v>
      </c>
      <c r="D68" s="5">
        <v>7.0</v>
      </c>
      <c r="E68" s="5">
        <v>0.0</v>
      </c>
      <c r="F68" s="5">
        <v>0.0</v>
      </c>
      <c r="G68" s="5">
        <f t="shared" si="1"/>
        <v>7</v>
      </c>
      <c r="H68" s="4" t="s">
        <v>26</v>
      </c>
      <c r="I68" s="4" t="s">
        <v>53</v>
      </c>
      <c r="J68" s="8" t="s">
        <v>283</v>
      </c>
      <c r="K68" s="4" t="s">
        <v>284</v>
      </c>
    </row>
    <row r="69" ht="15.75" customHeight="1">
      <c r="A69" s="4" t="s">
        <v>34</v>
      </c>
      <c r="B69" s="4" t="s">
        <v>35</v>
      </c>
      <c r="C69" s="4" t="s">
        <v>254</v>
      </c>
      <c r="D69" s="5">
        <v>1.0</v>
      </c>
      <c r="E69" s="5">
        <v>0.0</v>
      </c>
      <c r="F69" s="5">
        <v>1.0</v>
      </c>
      <c r="G69" s="5">
        <f t="shared" si="1"/>
        <v>2</v>
      </c>
      <c r="H69" s="4" t="s">
        <v>37</v>
      </c>
      <c r="I69" s="4" t="s">
        <v>27</v>
      </c>
      <c r="J69" s="8" t="s">
        <v>285</v>
      </c>
      <c r="K69" s="4" t="s">
        <v>286</v>
      </c>
    </row>
    <row r="70" ht="15.75" customHeight="1">
      <c r="A70" s="4" t="s">
        <v>224</v>
      </c>
      <c r="B70" s="4" t="s">
        <v>287</v>
      </c>
      <c r="C70" s="4" t="s">
        <v>254</v>
      </c>
      <c r="D70" s="5">
        <v>4.0</v>
      </c>
      <c r="E70" s="5">
        <v>0.0</v>
      </c>
      <c r="F70" s="5">
        <v>0.0</v>
      </c>
      <c r="G70" s="5">
        <f t="shared" si="1"/>
        <v>4</v>
      </c>
      <c r="H70" s="4" t="s">
        <v>37</v>
      </c>
      <c r="I70" s="4" t="s">
        <v>53</v>
      </c>
      <c r="J70" s="8" t="s">
        <v>288</v>
      </c>
      <c r="K70" s="4" t="s">
        <v>289</v>
      </c>
    </row>
    <row r="71" ht="15.75" customHeight="1">
      <c r="A71" s="4" t="s">
        <v>251</v>
      </c>
      <c r="B71" s="4" t="s">
        <v>290</v>
      </c>
      <c r="C71" s="4" t="s">
        <v>254</v>
      </c>
      <c r="D71" s="5">
        <v>1.0</v>
      </c>
      <c r="E71" s="5">
        <v>0.0</v>
      </c>
      <c r="F71" s="5">
        <v>0.0</v>
      </c>
      <c r="G71" s="5">
        <f t="shared" si="1"/>
        <v>1</v>
      </c>
      <c r="H71" s="4" t="s">
        <v>45</v>
      </c>
      <c r="I71" s="4" t="s">
        <v>27</v>
      </c>
      <c r="J71" s="8" t="s">
        <v>291</v>
      </c>
      <c r="K71" s="4" t="s">
        <v>292</v>
      </c>
    </row>
    <row r="72" ht="15.75" customHeight="1">
      <c r="A72" s="4" t="s">
        <v>141</v>
      </c>
      <c r="B72" s="4" t="s">
        <v>293</v>
      </c>
      <c r="C72" s="4" t="s">
        <v>254</v>
      </c>
      <c r="D72" s="5">
        <v>16.0</v>
      </c>
      <c r="E72" s="5">
        <v>1.0</v>
      </c>
      <c r="F72" s="5">
        <v>3.0</v>
      </c>
      <c r="G72" s="5">
        <f t="shared" si="1"/>
        <v>20</v>
      </c>
      <c r="H72" s="4" t="s">
        <v>37</v>
      </c>
      <c r="I72" s="4" t="s">
        <v>27</v>
      </c>
      <c r="J72" s="8" t="s">
        <v>294</v>
      </c>
      <c r="K72" s="4" t="s">
        <v>295</v>
      </c>
    </row>
    <row r="73" ht="15.75" customHeight="1">
      <c r="A73" s="4" t="s">
        <v>25</v>
      </c>
      <c r="B73" s="4" t="s">
        <v>114</v>
      </c>
      <c r="C73" s="4" t="s">
        <v>254</v>
      </c>
      <c r="D73" s="5">
        <v>24.0</v>
      </c>
      <c r="E73" s="5">
        <v>85.0</v>
      </c>
      <c r="F73" s="5">
        <v>0.0</v>
      </c>
      <c r="G73" s="5">
        <f t="shared" si="1"/>
        <v>109</v>
      </c>
      <c r="H73" s="4" t="s">
        <v>45</v>
      </c>
      <c r="I73" s="4" t="s">
        <v>27</v>
      </c>
      <c r="J73" s="8" t="s">
        <v>296</v>
      </c>
      <c r="K73" s="4" t="s">
        <v>297</v>
      </c>
    </row>
    <row r="74" ht="15.75" customHeight="1">
      <c r="A74" s="4" t="s">
        <v>34</v>
      </c>
      <c r="B74" s="4" t="s">
        <v>35</v>
      </c>
      <c r="C74" s="4" t="s">
        <v>254</v>
      </c>
      <c r="D74" s="5">
        <v>1.0</v>
      </c>
      <c r="E74" s="5">
        <v>0.0</v>
      </c>
      <c r="F74" s="5">
        <v>2.0</v>
      </c>
      <c r="G74" s="5">
        <f t="shared" si="1"/>
        <v>3</v>
      </c>
      <c r="H74" s="4" t="s">
        <v>37</v>
      </c>
      <c r="I74" s="4" t="s">
        <v>27</v>
      </c>
      <c r="J74" s="8" t="s">
        <v>298</v>
      </c>
      <c r="K74" s="4" t="s">
        <v>299</v>
      </c>
    </row>
    <row r="75" ht="15.75" customHeight="1">
      <c r="A75" s="4" t="s">
        <v>111</v>
      </c>
      <c r="B75" s="4" t="s">
        <v>227</v>
      </c>
      <c r="C75" s="4" t="s">
        <v>254</v>
      </c>
      <c r="D75" s="5">
        <v>5.0</v>
      </c>
      <c r="E75" s="5">
        <v>4.0</v>
      </c>
      <c r="F75" s="5">
        <v>0.0</v>
      </c>
      <c r="G75" s="5">
        <f t="shared" si="1"/>
        <v>9</v>
      </c>
      <c r="H75" s="4" t="s">
        <v>37</v>
      </c>
      <c r="I75" s="4" t="s">
        <v>53</v>
      </c>
      <c r="J75" s="8" t="s">
        <v>300</v>
      </c>
      <c r="K75" s="4" t="s">
        <v>301</v>
      </c>
    </row>
    <row r="76" ht="15.75" customHeight="1">
      <c r="A76" s="4" t="s">
        <v>41</v>
      </c>
      <c r="B76" s="4" t="s">
        <v>101</v>
      </c>
      <c r="C76" s="4" t="s">
        <v>254</v>
      </c>
      <c r="D76" s="5">
        <v>65.0</v>
      </c>
      <c r="E76" s="5">
        <v>41.0</v>
      </c>
      <c r="F76" s="5">
        <v>4.0</v>
      </c>
      <c r="G76" s="5">
        <f t="shared" si="1"/>
        <v>110</v>
      </c>
      <c r="H76" s="4" t="s">
        <v>45</v>
      </c>
      <c r="I76" s="4" t="s">
        <v>27</v>
      </c>
      <c r="J76" s="8" t="s">
        <v>302</v>
      </c>
      <c r="K76" s="4" t="s">
        <v>303</v>
      </c>
    </row>
    <row r="77" ht="15.75" customHeight="1">
      <c r="A77" s="4" t="s">
        <v>148</v>
      </c>
      <c r="B77" s="4" t="s">
        <v>150</v>
      </c>
      <c r="C77" s="4" t="s">
        <v>254</v>
      </c>
      <c r="D77" s="5">
        <v>0.0</v>
      </c>
      <c r="E77" s="5">
        <v>1.0</v>
      </c>
      <c r="F77" s="5">
        <v>0.0</v>
      </c>
      <c r="G77" s="5">
        <f t="shared" si="1"/>
        <v>1</v>
      </c>
      <c r="H77" s="4" t="s">
        <v>151</v>
      </c>
      <c r="I77" s="4" t="s">
        <v>27</v>
      </c>
      <c r="J77" s="8" t="s">
        <v>304</v>
      </c>
      <c r="K77" s="4" t="s">
        <v>305</v>
      </c>
    </row>
    <row r="78" ht="15.75" customHeight="1">
      <c r="A78" s="4" t="s">
        <v>25</v>
      </c>
      <c r="B78" s="4" t="s">
        <v>114</v>
      </c>
      <c r="C78" s="4" t="s">
        <v>254</v>
      </c>
      <c r="D78" s="5">
        <v>14.0</v>
      </c>
      <c r="E78" s="5">
        <v>23.0</v>
      </c>
      <c r="F78" s="5">
        <v>0.0</v>
      </c>
      <c r="G78" s="5">
        <f t="shared" si="1"/>
        <v>37</v>
      </c>
      <c r="H78" s="4" t="s">
        <v>37</v>
      </c>
      <c r="I78" s="4" t="s">
        <v>27</v>
      </c>
      <c r="J78" s="8" t="s">
        <v>306</v>
      </c>
      <c r="K78" s="4" t="s">
        <v>307</v>
      </c>
    </row>
    <row r="79" ht="15.75" customHeight="1">
      <c r="A79" s="4" t="s">
        <v>34</v>
      </c>
      <c r="B79" s="4" t="s">
        <v>35</v>
      </c>
      <c r="C79" s="4" t="s">
        <v>254</v>
      </c>
      <c r="D79" s="5">
        <v>1.0</v>
      </c>
      <c r="E79" s="5">
        <v>0.0</v>
      </c>
      <c r="F79" s="5">
        <v>2.0</v>
      </c>
      <c r="G79" s="5">
        <f t="shared" si="1"/>
        <v>3</v>
      </c>
      <c r="H79" s="4" t="s">
        <v>37</v>
      </c>
      <c r="I79" s="4" t="s">
        <v>27</v>
      </c>
      <c r="J79" s="8" t="s">
        <v>308</v>
      </c>
      <c r="K79" s="4" t="s">
        <v>309</v>
      </c>
    </row>
    <row r="80" ht="15.75" customHeight="1">
      <c r="A80" s="4" t="s">
        <v>215</v>
      </c>
      <c r="B80" s="4" t="s">
        <v>310</v>
      </c>
      <c r="C80" s="4" t="s">
        <v>254</v>
      </c>
      <c r="D80" s="5">
        <v>4.0</v>
      </c>
      <c r="E80" s="5">
        <v>2.0</v>
      </c>
      <c r="F80" s="5">
        <v>0.0</v>
      </c>
      <c r="G80" s="5">
        <f t="shared" si="1"/>
        <v>6</v>
      </c>
      <c r="H80" s="4" t="s">
        <v>151</v>
      </c>
      <c r="I80" s="4" t="s">
        <v>27</v>
      </c>
      <c r="J80" s="8" t="s">
        <v>311</v>
      </c>
      <c r="K80" s="4" t="s">
        <v>312</v>
      </c>
    </row>
    <row r="81" ht="15.75" customHeight="1">
      <c r="A81" s="4" t="s">
        <v>77</v>
      </c>
      <c r="B81" s="4" t="s">
        <v>145</v>
      </c>
      <c r="C81" s="4" t="s">
        <v>254</v>
      </c>
      <c r="D81" s="5">
        <v>13.0</v>
      </c>
      <c r="E81" s="5">
        <v>1.0</v>
      </c>
      <c r="F81" s="5">
        <v>1.0</v>
      </c>
      <c r="G81" s="5">
        <f t="shared" si="1"/>
        <v>15</v>
      </c>
      <c r="H81" s="4" t="s">
        <v>37</v>
      </c>
      <c r="I81" s="4" t="s">
        <v>27</v>
      </c>
      <c r="J81" s="8" t="s">
        <v>313</v>
      </c>
      <c r="K81" s="4" t="s">
        <v>314</v>
      </c>
    </row>
    <row r="82" ht="15.75" customHeight="1">
      <c r="A82" s="4" t="s">
        <v>102</v>
      </c>
      <c r="B82" s="4" t="s">
        <v>221</v>
      </c>
      <c r="C82" s="4" t="s">
        <v>254</v>
      </c>
      <c r="D82" s="5">
        <v>31.0</v>
      </c>
      <c r="E82" s="5">
        <v>4.0</v>
      </c>
      <c r="F82" s="5">
        <v>0.0</v>
      </c>
      <c r="G82" s="5">
        <f t="shared" si="1"/>
        <v>35</v>
      </c>
      <c r="H82" s="4" t="s">
        <v>37</v>
      </c>
      <c r="I82" s="4" t="s">
        <v>53</v>
      </c>
      <c r="J82" s="8" t="s">
        <v>315</v>
      </c>
      <c r="K82" s="4" t="s">
        <v>316</v>
      </c>
    </row>
    <row r="83" ht="15.75" customHeight="1">
      <c r="A83" s="4" t="s">
        <v>70</v>
      </c>
      <c r="B83" s="4" t="s">
        <v>85</v>
      </c>
      <c r="C83" s="4" t="s">
        <v>317</v>
      </c>
      <c r="D83" s="5">
        <v>34.0</v>
      </c>
      <c r="E83" s="5">
        <v>8.0</v>
      </c>
      <c r="F83" s="5">
        <v>1.0</v>
      </c>
      <c r="G83" s="5">
        <f t="shared" si="1"/>
        <v>43</v>
      </c>
      <c r="H83" s="4" t="s">
        <v>37</v>
      </c>
      <c r="I83" s="4" t="s">
        <v>27</v>
      </c>
      <c r="J83" s="8" t="s">
        <v>318</v>
      </c>
      <c r="K83" s="4" t="s">
        <v>319</v>
      </c>
    </row>
    <row r="84" ht="15.75" customHeight="1">
      <c r="A84" s="4" t="s">
        <v>67</v>
      </c>
      <c r="B84" s="4" t="s">
        <v>68</v>
      </c>
      <c r="C84" s="4" t="s">
        <v>254</v>
      </c>
      <c r="D84" s="5">
        <v>0.0</v>
      </c>
      <c r="E84" s="5">
        <v>0.0</v>
      </c>
      <c r="F84" s="5">
        <v>0.0</v>
      </c>
      <c r="G84" s="5">
        <f t="shared" si="1"/>
        <v>0</v>
      </c>
      <c r="H84" s="4" t="s">
        <v>26</v>
      </c>
      <c r="I84" s="4" t="s">
        <v>27</v>
      </c>
      <c r="J84" s="8" t="s">
        <v>320</v>
      </c>
      <c r="K84" s="4" t="s">
        <v>281</v>
      </c>
    </row>
    <row r="85" ht="15.75" customHeight="1">
      <c r="A85" s="4" t="s">
        <v>175</v>
      </c>
      <c r="B85" s="4" t="s">
        <v>321</v>
      </c>
      <c r="C85" s="4" t="s">
        <v>317</v>
      </c>
      <c r="D85" s="5">
        <v>10.0</v>
      </c>
      <c r="E85" s="5">
        <v>2.0</v>
      </c>
      <c r="F85" s="5">
        <v>0.0</v>
      </c>
      <c r="G85" s="5">
        <f t="shared" si="1"/>
        <v>12</v>
      </c>
      <c r="H85" s="4" t="s">
        <v>45</v>
      </c>
      <c r="I85" s="4" t="s">
        <v>27</v>
      </c>
      <c r="J85" s="8" t="s">
        <v>322</v>
      </c>
      <c r="K85" s="4" t="s">
        <v>323</v>
      </c>
    </row>
    <row r="86" ht="15.75" customHeight="1">
      <c r="A86" s="4" t="s">
        <v>34</v>
      </c>
      <c r="B86" s="4" t="s">
        <v>35</v>
      </c>
      <c r="C86" s="4" t="s">
        <v>317</v>
      </c>
      <c r="D86" s="5">
        <v>1.0</v>
      </c>
      <c r="E86" s="5">
        <v>0.0</v>
      </c>
      <c r="F86" s="5">
        <v>1.0</v>
      </c>
      <c r="G86" s="5">
        <f t="shared" si="1"/>
        <v>2</v>
      </c>
      <c r="H86" s="4" t="s">
        <v>37</v>
      </c>
      <c r="I86" s="4" t="s">
        <v>27</v>
      </c>
      <c r="J86" s="8" t="s">
        <v>324</v>
      </c>
      <c r="K86" s="4" t="s">
        <v>325</v>
      </c>
    </row>
    <row r="87" ht="15.75" customHeight="1">
      <c r="A87" s="4" t="s">
        <v>77</v>
      </c>
      <c r="B87" s="4" t="s">
        <v>145</v>
      </c>
      <c r="C87" s="4" t="s">
        <v>317</v>
      </c>
      <c r="D87" s="5">
        <v>12.0</v>
      </c>
      <c r="E87" s="5">
        <v>2.0</v>
      </c>
      <c r="F87" s="5">
        <v>0.0</v>
      </c>
      <c r="G87" s="5">
        <f t="shared" si="1"/>
        <v>14</v>
      </c>
      <c r="H87" s="4" t="s">
        <v>37</v>
      </c>
      <c r="I87" s="4" t="s">
        <v>27</v>
      </c>
      <c r="J87" s="8" t="s">
        <v>326</v>
      </c>
      <c r="K87" s="4" t="s">
        <v>327</v>
      </c>
    </row>
    <row r="88" ht="15.75" customHeight="1">
      <c r="A88" s="4" t="s">
        <v>280</v>
      </c>
      <c r="B88" s="4" t="s">
        <v>328</v>
      </c>
      <c r="C88" s="4" t="s">
        <v>317</v>
      </c>
      <c r="D88" s="5">
        <v>0.0</v>
      </c>
      <c r="E88" s="5">
        <v>0.0</v>
      </c>
      <c r="F88" s="5">
        <v>0.0</v>
      </c>
      <c r="G88" s="5">
        <f t="shared" si="1"/>
        <v>0</v>
      </c>
      <c r="H88" s="4" t="s">
        <v>37</v>
      </c>
      <c r="I88" s="4" t="s">
        <v>53</v>
      </c>
      <c r="J88" s="8" t="s">
        <v>329</v>
      </c>
      <c r="K88" s="4" t="s">
        <v>330</v>
      </c>
    </row>
    <row r="89" ht="15.75" customHeight="1">
      <c r="A89" s="4" t="s">
        <v>256</v>
      </c>
      <c r="B89" s="4" t="s">
        <v>331</v>
      </c>
      <c r="C89" s="4" t="s">
        <v>317</v>
      </c>
      <c r="D89" s="5">
        <v>1.0</v>
      </c>
      <c r="E89" s="5">
        <v>0.0</v>
      </c>
      <c r="F89" s="5">
        <v>0.0</v>
      </c>
      <c r="G89" s="5">
        <f t="shared" si="1"/>
        <v>1</v>
      </c>
      <c r="H89" s="4" t="s">
        <v>37</v>
      </c>
      <c r="I89" s="4" t="s">
        <v>27</v>
      </c>
      <c r="J89" s="8" t="s">
        <v>332</v>
      </c>
      <c r="K89" s="4" t="s">
        <v>333</v>
      </c>
    </row>
    <row r="90" ht="15.75" customHeight="1">
      <c r="A90" s="4" t="s">
        <v>236</v>
      </c>
      <c r="B90" s="4" t="s">
        <v>334</v>
      </c>
      <c r="C90" s="4" t="s">
        <v>317</v>
      </c>
      <c r="D90" s="5">
        <v>1.0</v>
      </c>
      <c r="E90" s="5">
        <v>1.0</v>
      </c>
      <c r="F90" s="5">
        <v>0.0</v>
      </c>
      <c r="G90" s="5">
        <f t="shared" si="1"/>
        <v>2</v>
      </c>
      <c r="H90" s="4" t="s">
        <v>37</v>
      </c>
      <c r="I90" s="4" t="s">
        <v>53</v>
      </c>
      <c r="J90" s="8" t="s">
        <v>335</v>
      </c>
      <c r="K90" s="4" t="s">
        <v>336</v>
      </c>
    </row>
    <row r="91" ht="15.75" customHeight="1">
      <c r="A91" s="4" t="s">
        <v>97</v>
      </c>
      <c r="B91" s="4" t="s">
        <v>337</v>
      </c>
      <c r="C91" s="4" t="s">
        <v>173</v>
      </c>
      <c r="D91" s="5">
        <v>44.0</v>
      </c>
      <c r="E91" s="5">
        <v>0.0</v>
      </c>
      <c r="F91" s="5">
        <v>5.0</v>
      </c>
      <c r="G91" s="5">
        <f t="shared" si="1"/>
        <v>49</v>
      </c>
      <c r="H91" s="4" t="s">
        <v>37</v>
      </c>
      <c r="I91" s="4" t="s">
        <v>27</v>
      </c>
      <c r="J91" s="8" t="s">
        <v>338</v>
      </c>
      <c r="K91" s="4" t="s">
        <v>339</v>
      </c>
    </row>
    <row r="92" ht="15.75" customHeight="1">
      <c r="A92" s="4" t="s">
        <v>63</v>
      </c>
      <c r="B92" s="4" t="s">
        <v>340</v>
      </c>
      <c r="C92" s="4" t="s">
        <v>317</v>
      </c>
      <c r="D92" s="5">
        <v>49.0</v>
      </c>
      <c r="E92" s="5">
        <v>7.0</v>
      </c>
      <c r="F92" s="5">
        <v>1.0</v>
      </c>
      <c r="G92" s="5">
        <f t="shared" si="1"/>
        <v>57</v>
      </c>
      <c r="H92" s="4" t="s">
        <v>26</v>
      </c>
      <c r="I92" s="4" t="s">
        <v>27</v>
      </c>
      <c r="J92" s="8" t="s">
        <v>341</v>
      </c>
      <c r="K92" s="4" t="s">
        <v>342</v>
      </c>
    </row>
    <row r="93" ht="15.75" customHeight="1">
      <c r="A93" s="4" t="s">
        <v>25</v>
      </c>
      <c r="B93" s="4" t="s">
        <v>114</v>
      </c>
      <c r="C93" s="4" t="s">
        <v>173</v>
      </c>
      <c r="D93" s="5">
        <v>30.0</v>
      </c>
      <c r="E93" s="5">
        <v>248.0</v>
      </c>
      <c r="F93" s="5">
        <v>0.0</v>
      </c>
      <c r="G93" s="5">
        <f t="shared" si="1"/>
        <v>278</v>
      </c>
      <c r="H93" s="4" t="s">
        <v>26</v>
      </c>
      <c r="I93" s="4" t="s">
        <v>27</v>
      </c>
      <c r="J93" s="8" t="s">
        <v>343</v>
      </c>
      <c r="K93" s="4" t="s">
        <v>344</v>
      </c>
    </row>
    <row r="94" ht="15.75" customHeight="1">
      <c r="A94" s="4" t="s">
        <v>34</v>
      </c>
      <c r="B94" s="4" t="s">
        <v>35</v>
      </c>
      <c r="C94" s="4" t="s">
        <v>317</v>
      </c>
      <c r="D94" s="5">
        <v>1.0</v>
      </c>
      <c r="E94" s="5">
        <v>0.0</v>
      </c>
      <c r="F94" s="5">
        <v>1.0</v>
      </c>
      <c r="G94" s="5">
        <f t="shared" si="1"/>
        <v>2</v>
      </c>
      <c r="H94" s="4" t="s">
        <v>37</v>
      </c>
      <c r="I94" s="4" t="s">
        <v>27</v>
      </c>
      <c r="J94" s="8" t="s">
        <v>345</v>
      </c>
      <c r="K94" s="4" t="s">
        <v>346</v>
      </c>
    </row>
    <row r="95" ht="15.75" customHeight="1">
      <c r="A95" s="4" t="s">
        <v>56</v>
      </c>
      <c r="B95" s="4" t="s">
        <v>94</v>
      </c>
      <c r="C95" s="4" t="s">
        <v>317</v>
      </c>
      <c r="D95" s="5">
        <v>44.0</v>
      </c>
      <c r="E95" s="5">
        <v>26.0</v>
      </c>
      <c r="F95" s="5">
        <v>0.0</v>
      </c>
      <c r="G95" s="5">
        <f t="shared" si="1"/>
        <v>70</v>
      </c>
      <c r="H95" s="4" t="s">
        <v>37</v>
      </c>
      <c r="I95" s="4" t="s">
        <v>27</v>
      </c>
      <c r="J95" s="8" t="s">
        <v>347</v>
      </c>
      <c r="K95" s="4" t="s">
        <v>348</v>
      </c>
    </row>
    <row r="96" ht="15.75" customHeight="1">
      <c r="A96" s="4" t="s">
        <v>240</v>
      </c>
      <c r="B96" s="4" t="s">
        <v>349</v>
      </c>
      <c r="C96" s="4" t="s">
        <v>317</v>
      </c>
      <c r="D96" s="5">
        <v>2.0</v>
      </c>
      <c r="E96" s="5">
        <v>0.0</v>
      </c>
      <c r="F96" s="5">
        <v>0.0</v>
      </c>
      <c r="G96" s="5">
        <f t="shared" si="1"/>
        <v>2</v>
      </c>
      <c r="H96" s="4" t="s">
        <v>26</v>
      </c>
      <c r="I96" s="4" t="s">
        <v>27</v>
      </c>
      <c r="J96" s="8" t="s">
        <v>350</v>
      </c>
      <c r="K96" s="4" t="s">
        <v>351</v>
      </c>
    </row>
    <row r="97" ht="15.75" customHeight="1">
      <c r="A97" s="4" t="s">
        <v>25</v>
      </c>
      <c r="B97" s="4" t="s">
        <v>114</v>
      </c>
      <c r="C97" s="4" t="s">
        <v>317</v>
      </c>
      <c r="D97" s="5">
        <v>60.0</v>
      </c>
      <c r="E97" s="5">
        <v>335.0</v>
      </c>
      <c r="F97" s="5">
        <v>0.0</v>
      </c>
      <c r="G97" s="5">
        <f t="shared" si="1"/>
        <v>395</v>
      </c>
      <c r="H97" s="4" t="s">
        <v>37</v>
      </c>
      <c r="I97" s="4" t="s">
        <v>27</v>
      </c>
      <c r="J97" s="8" t="s">
        <v>352</v>
      </c>
      <c r="K97" s="4" t="s">
        <v>353</v>
      </c>
    </row>
    <row r="98" ht="15.75" customHeight="1">
      <c r="A98" s="4" t="s">
        <v>31</v>
      </c>
      <c r="B98" s="4" t="s">
        <v>123</v>
      </c>
      <c r="C98" s="4" t="s">
        <v>317</v>
      </c>
      <c r="D98" s="5">
        <v>514.0</v>
      </c>
      <c r="E98" s="5">
        <v>42.0</v>
      </c>
      <c r="F98" s="5">
        <v>16.0</v>
      </c>
      <c r="G98" s="5">
        <f t="shared" si="1"/>
        <v>572</v>
      </c>
      <c r="H98" s="4" t="s">
        <v>26</v>
      </c>
      <c r="I98" s="4" t="s">
        <v>53</v>
      </c>
      <c r="J98" s="8" t="s">
        <v>354</v>
      </c>
      <c r="K98" s="4" t="s">
        <v>355</v>
      </c>
    </row>
    <row r="99" ht="15.75" customHeight="1">
      <c r="A99" s="4" t="s">
        <v>34</v>
      </c>
      <c r="B99" s="4" t="s">
        <v>35</v>
      </c>
      <c r="C99" s="4" t="s">
        <v>317</v>
      </c>
      <c r="D99" s="5">
        <v>1.0</v>
      </c>
      <c r="E99" s="5">
        <v>0.0</v>
      </c>
      <c r="F99" s="5">
        <v>1.0</v>
      </c>
      <c r="G99" s="5">
        <f t="shared" si="1"/>
        <v>2</v>
      </c>
      <c r="H99" s="4" t="s">
        <v>37</v>
      </c>
      <c r="I99" s="4" t="s">
        <v>27</v>
      </c>
      <c r="J99" s="8" t="s">
        <v>356</v>
      </c>
      <c r="K99" s="4" t="s">
        <v>357</v>
      </c>
    </row>
    <row r="100" ht="15.75" customHeight="1">
      <c r="A100" s="4" t="s">
        <v>58</v>
      </c>
      <c r="B100" s="4" t="s">
        <v>233</v>
      </c>
      <c r="C100" s="4" t="s">
        <v>317</v>
      </c>
      <c r="D100" s="5">
        <v>28.0</v>
      </c>
      <c r="E100" s="5">
        <v>0.0</v>
      </c>
      <c r="F100" s="5">
        <v>0.0</v>
      </c>
      <c r="G100" s="5">
        <f t="shared" si="1"/>
        <v>28</v>
      </c>
      <c r="H100" s="4" t="s">
        <v>37</v>
      </c>
      <c r="I100" s="4" t="s">
        <v>27</v>
      </c>
      <c r="J100" s="8" t="s">
        <v>358</v>
      </c>
      <c r="K100" s="4" t="s">
        <v>359</v>
      </c>
    </row>
    <row r="101" ht="15.75" customHeight="1">
      <c r="A101" s="4" t="s">
        <v>36</v>
      </c>
      <c r="B101" s="4" t="s">
        <v>360</v>
      </c>
      <c r="C101" s="4" t="s">
        <v>317</v>
      </c>
      <c r="D101" s="5">
        <v>357.0</v>
      </c>
      <c r="E101" s="5">
        <v>9.0</v>
      </c>
      <c r="F101" s="5">
        <v>0.0</v>
      </c>
      <c r="G101" s="5">
        <f t="shared" si="1"/>
        <v>366</v>
      </c>
      <c r="H101" s="4" t="s">
        <v>37</v>
      </c>
      <c r="I101" s="4" t="s">
        <v>27</v>
      </c>
      <c r="J101" s="8" t="s">
        <v>361</v>
      </c>
      <c r="K101" s="4" t="s">
        <v>362</v>
      </c>
    </row>
    <row r="102" ht="15.75" customHeight="1">
      <c r="A102" s="4" t="s">
        <v>73</v>
      </c>
      <c r="B102" s="4" t="s">
        <v>363</v>
      </c>
      <c r="C102" s="4" t="s">
        <v>317</v>
      </c>
      <c r="D102" s="5">
        <v>22.0</v>
      </c>
      <c r="E102" s="5">
        <v>4.0</v>
      </c>
      <c r="F102" s="5">
        <v>0.0</v>
      </c>
      <c r="G102" s="5">
        <f t="shared" si="1"/>
        <v>26</v>
      </c>
      <c r="H102" s="4" t="s">
        <v>37</v>
      </c>
      <c r="I102" s="4" t="s">
        <v>72</v>
      </c>
      <c r="J102" s="8" t="s">
        <v>364</v>
      </c>
      <c r="K102" s="4" t="s">
        <v>365</v>
      </c>
    </row>
    <row r="103" ht="15.75" customHeight="1">
      <c r="A103" s="4" t="s">
        <v>106</v>
      </c>
      <c r="B103" s="4" t="s">
        <v>366</v>
      </c>
      <c r="C103" s="4" t="s">
        <v>317</v>
      </c>
      <c r="D103" s="5">
        <v>23.0</v>
      </c>
      <c r="E103" s="5">
        <v>8.0</v>
      </c>
      <c r="F103" s="5">
        <v>0.0</v>
      </c>
      <c r="G103" s="5">
        <f t="shared" si="1"/>
        <v>31</v>
      </c>
      <c r="H103" s="4" t="s">
        <v>45</v>
      </c>
      <c r="I103" s="4" t="s">
        <v>27</v>
      </c>
      <c r="J103" s="8" t="s">
        <v>367</v>
      </c>
      <c r="K103" s="4" t="s">
        <v>368</v>
      </c>
    </row>
    <row r="104" ht="15.75" customHeight="1">
      <c r="A104" s="4" t="s">
        <v>31</v>
      </c>
      <c r="B104" s="4" t="s">
        <v>123</v>
      </c>
      <c r="C104" s="4" t="s">
        <v>317</v>
      </c>
      <c r="D104" s="5">
        <v>13.0</v>
      </c>
      <c r="E104" s="5">
        <v>0.0</v>
      </c>
      <c r="F104" s="5">
        <v>0.0</v>
      </c>
      <c r="G104" s="5">
        <f t="shared" si="1"/>
        <v>13</v>
      </c>
      <c r="H104" s="4" t="s">
        <v>26</v>
      </c>
      <c r="I104" s="4" t="s">
        <v>53</v>
      </c>
      <c r="J104" s="8" t="s">
        <v>369</v>
      </c>
      <c r="K104" s="4" t="s">
        <v>370</v>
      </c>
    </row>
    <row r="105" ht="15.75" customHeight="1">
      <c r="A105" s="4" t="s">
        <v>243</v>
      </c>
      <c r="B105" s="4" t="s">
        <v>371</v>
      </c>
      <c r="C105" s="4" t="s">
        <v>317</v>
      </c>
      <c r="D105" s="5">
        <v>2.0</v>
      </c>
      <c r="E105" s="5">
        <v>0.0</v>
      </c>
      <c r="F105" s="5">
        <v>0.0</v>
      </c>
      <c r="G105" s="5">
        <f t="shared" si="1"/>
        <v>2</v>
      </c>
      <c r="H105" s="4" t="s">
        <v>45</v>
      </c>
      <c r="I105" s="4" t="s">
        <v>27</v>
      </c>
      <c r="J105" s="8" t="s">
        <v>372</v>
      </c>
      <c r="K105" s="4" t="s">
        <v>373</v>
      </c>
    </row>
    <row r="106" ht="15.75" customHeight="1">
      <c r="A106" s="4" t="s">
        <v>178</v>
      </c>
      <c r="B106" s="4" t="s">
        <v>374</v>
      </c>
      <c r="C106" s="4" t="s">
        <v>317</v>
      </c>
      <c r="D106" s="5">
        <v>6.0</v>
      </c>
      <c r="E106" s="5">
        <v>1.0</v>
      </c>
      <c r="F106" s="5">
        <v>3.0</v>
      </c>
      <c r="G106" s="5">
        <f t="shared" si="1"/>
        <v>10</v>
      </c>
      <c r="H106" s="4" t="s">
        <v>37</v>
      </c>
      <c r="I106" s="4" t="s">
        <v>53</v>
      </c>
      <c r="J106" s="8" t="s">
        <v>375</v>
      </c>
      <c r="K106" s="4" t="s">
        <v>376</v>
      </c>
    </row>
    <row r="107" ht="15.75" customHeight="1">
      <c r="A107" s="4" t="s">
        <v>259</v>
      </c>
      <c r="B107" s="4" t="s">
        <v>377</v>
      </c>
      <c r="C107" s="4" t="s">
        <v>317</v>
      </c>
      <c r="D107" s="5">
        <v>1.0</v>
      </c>
      <c r="E107" s="5">
        <v>0.0</v>
      </c>
      <c r="F107" s="5">
        <v>0.0</v>
      </c>
      <c r="G107" s="5">
        <f t="shared" si="1"/>
        <v>1</v>
      </c>
      <c r="H107" s="4" t="s">
        <v>37</v>
      </c>
      <c r="I107" s="4" t="s">
        <v>53</v>
      </c>
      <c r="J107" s="8" t="s">
        <v>378</v>
      </c>
      <c r="K107" s="4" t="s">
        <v>379</v>
      </c>
    </row>
    <row r="108" ht="15.75" customHeight="1">
      <c r="A108" s="4" t="s">
        <v>34</v>
      </c>
      <c r="B108" s="4" t="s">
        <v>35</v>
      </c>
      <c r="C108" s="4" t="s">
        <v>317</v>
      </c>
      <c r="D108" s="5">
        <v>1.0</v>
      </c>
      <c r="E108" s="5">
        <v>0.0</v>
      </c>
      <c r="F108" s="5">
        <v>2.0</v>
      </c>
      <c r="G108" s="5">
        <f t="shared" si="1"/>
        <v>3</v>
      </c>
      <c r="H108" s="4" t="s">
        <v>37</v>
      </c>
      <c r="I108" s="4" t="s">
        <v>27</v>
      </c>
      <c r="J108" s="8" t="s">
        <v>380</v>
      </c>
      <c r="K108" s="4" t="s">
        <v>381</v>
      </c>
    </row>
    <row r="109" ht="15.75" customHeight="1">
      <c r="A109" s="4" t="s">
        <v>31</v>
      </c>
      <c r="B109" s="4" t="s">
        <v>123</v>
      </c>
      <c r="C109" s="4" t="s">
        <v>317</v>
      </c>
      <c r="D109" s="5">
        <v>46.0</v>
      </c>
      <c r="E109" s="5">
        <v>1.0</v>
      </c>
      <c r="F109" s="5">
        <v>0.0</v>
      </c>
      <c r="G109" s="5">
        <f t="shared" si="1"/>
        <v>47</v>
      </c>
      <c r="H109" s="4" t="s">
        <v>26</v>
      </c>
      <c r="I109" s="4" t="s">
        <v>53</v>
      </c>
      <c r="J109" s="8" t="s">
        <v>382</v>
      </c>
      <c r="K109" s="4" t="s">
        <v>383</v>
      </c>
    </row>
    <row r="110" ht="15.75" customHeight="1">
      <c r="A110" s="4" t="s">
        <v>56</v>
      </c>
      <c r="B110" s="4" t="s">
        <v>94</v>
      </c>
      <c r="C110" s="4" t="s">
        <v>317</v>
      </c>
      <c r="D110" s="5">
        <v>37.0</v>
      </c>
      <c r="E110" s="5">
        <v>4.0</v>
      </c>
      <c r="F110" s="5">
        <v>1.0</v>
      </c>
      <c r="G110" s="5">
        <f t="shared" si="1"/>
        <v>42</v>
      </c>
      <c r="H110" s="4" t="s">
        <v>37</v>
      </c>
      <c r="I110" s="4" t="s">
        <v>27</v>
      </c>
      <c r="J110" s="8" t="s">
        <v>384</v>
      </c>
      <c r="K110" s="4" t="s">
        <v>385</v>
      </c>
    </row>
    <row r="111" ht="15.75" customHeight="1">
      <c r="A111" s="4" t="s">
        <v>265</v>
      </c>
      <c r="B111" s="4" t="s">
        <v>386</v>
      </c>
      <c r="C111" s="4" t="s">
        <v>317</v>
      </c>
      <c r="D111" s="5">
        <v>1.0</v>
      </c>
      <c r="E111" s="5">
        <v>0.0</v>
      </c>
      <c r="F111" s="5">
        <v>0.0</v>
      </c>
      <c r="G111" s="5">
        <f t="shared" si="1"/>
        <v>1</v>
      </c>
      <c r="H111" s="4" t="s">
        <v>37</v>
      </c>
      <c r="I111" s="4" t="s">
        <v>27</v>
      </c>
      <c r="J111" s="8" t="s">
        <v>387</v>
      </c>
      <c r="K111" s="4" t="s">
        <v>388</v>
      </c>
    </row>
    <row r="112" ht="15.75" customHeight="1">
      <c r="A112" s="4" t="s">
        <v>148</v>
      </c>
      <c r="B112" s="4" t="s">
        <v>150</v>
      </c>
      <c r="C112" s="4" t="s">
        <v>317</v>
      </c>
      <c r="D112" s="5">
        <v>1.0</v>
      </c>
      <c r="E112" s="5">
        <v>1.0</v>
      </c>
      <c r="F112" s="5">
        <v>0.0</v>
      </c>
      <c r="G112" s="5">
        <f t="shared" si="1"/>
        <v>2</v>
      </c>
      <c r="H112" s="4" t="s">
        <v>151</v>
      </c>
      <c r="I112" s="4" t="s">
        <v>27</v>
      </c>
      <c r="J112" s="8" t="s">
        <v>389</v>
      </c>
      <c r="K112" s="4" t="s">
        <v>390</v>
      </c>
    </row>
    <row r="113" ht="15.75" customHeight="1">
      <c r="A113" s="4" t="s">
        <v>63</v>
      </c>
      <c r="B113" s="4" t="s">
        <v>340</v>
      </c>
      <c r="C113" s="4" t="s">
        <v>317</v>
      </c>
      <c r="D113" s="5">
        <v>12.0</v>
      </c>
      <c r="E113" s="5">
        <v>2.0</v>
      </c>
      <c r="F113" s="5">
        <v>2.0</v>
      </c>
      <c r="G113" s="5">
        <f t="shared" si="1"/>
        <v>16</v>
      </c>
      <c r="H113" s="4" t="s">
        <v>26</v>
      </c>
      <c r="I113" s="4" t="s">
        <v>27</v>
      </c>
      <c r="J113" s="8" t="s">
        <v>391</v>
      </c>
      <c r="K113" s="4" t="s">
        <v>392</v>
      </c>
    </row>
    <row r="114" ht="15.75" customHeight="1">
      <c r="A114" s="4" t="s">
        <v>31</v>
      </c>
      <c r="B114" s="4" t="s">
        <v>123</v>
      </c>
      <c r="C114" s="4" t="s">
        <v>317</v>
      </c>
      <c r="D114" s="5">
        <v>14.0</v>
      </c>
      <c r="E114" s="5">
        <v>1.0</v>
      </c>
      <c r="F114" s="5">
        <v>0.0</v>
      </c>
      <c r="G114" s="5">
        <f t="shared" si="1"/>
        <v>15</v>
      </c>
      <c r="H114" s="4" t="s">
        <v>26</v>
      </c>
      <c r="I114" s="4" t="s">
        <v>53</v>
      </c>
      <c r="J114" s="8" t="s">
        <v>393</v>
      </c>
      <c r="K114" s="4" t="s">
        <v>394</v>
      </c>
    </row>
    <row r="115" ht="15.75" customHeight="1">
      <c r="A115" s="4" t="s">
        <v>230</v>
      </c>
      <c r="B115" s="4" t="s">
        <v>395</v>
      </c>
      <c r="C115" s="4" t="s">
        <v>396</v>
      </c>
      <c r="D115" s="5">
        <v>1.0</v>
      </c>
      <c r="E115" s="5">
        <v>1.0</v>
      </c>
      <c r="F115" s="5">
        <v>1.0</v>
      </c>
      <c r="G115" s="5">
        <f t="shared" si="1"/>
        <v>3</v>
      </c>
      <c r="H115" s="4" t="s">
        <v>37</v>
      </c>
      <c r="I115" s="4" t="s">
        <v>27</v>
      </c>
      <c r="J115" s="8" t="s">
        <v>397</v>
      </c>
      <c r="K115" s="4" t="s">
        <v>398</v>
      </c>
    </row>
    <row r="116" ht="15.75" customHeight="1">
      <c r="A116" s="4" t="s">
        <v>34</v>
      </c>
      <c r="B116" s="4" t="s">
        <v>35</v>
      </c>
      <c r="C116" s="4" t="s">
        <v>396</v>
      </c>
      <c r="D116" s="5">
        <v>1.0</v>
      </c>
      <c r="E116" s="5">
        <v>0.0</v>
      </c>
      <c r="F116" s="5">
        <v>1.0</v>
      </c>
      <c r="G116" s="5">
        <f t="shared" si="1"/>
        <v>2</v>
      </c>
      <c r="H116" s="4" t="s">
        <v>37</v>
      </c>
      <c r="I116" s="4" t="s">
        <v>27</v>
      </c>
      <c r="J116" s="8" t="s">
        <v>399</v>
      </c>
      <c r="K116" s="4" t="s">
        <v>400</v>
      </c>
    </row>
    <row r="117" ht="15.75" customHeight="1">
      <c r="A117" s="4" t="s">
        <v>63</v>
      </c>
      <c r="B117" s="4" t="s">
        <v>340</v>
      </c>
      <c r="C117" s="4" t="s">
        <v>396</v>
      </c>
      <c r="D117" s="5">
        <v>42.0</v>
      </c>
      <c r="E117" s="5">
        <v>10.0</v>
      </c>
      <c r="F117" s="5">
        <v>4.0</v>
      </c>
      <c r="G117" s="5">
        <f t="shared" si="1"/>
        <v>56</v>
      </c>
      <c r="H117" s="4" t="s">
        <v>26</v>
      </c>
      <c r="I117" s="4" t="s">
        <v>27</v>
      </c>
      <c r="J117" s="8" t="s">
        <v>401</v>
      </c>
      <c r="K117" s="4" t="s">
        <v>402</v>
      </c>
    </row>
    <row r="118" ht="15.75" customHeight="1">
      <c r="A118" s="4" t="s">
        <v>25</v>
      </c>
      <c r="B118" s="4" t="s">
        <v>114</v>
      </c>
      <c r="C118" s="4" t="s">
        <v>317</v>
      </c>
      <c r="D118" s="5">
        <v>28.0</v>
      </c>
      <c r="E118" s="5">
        <v>103.0</v>
      </c>
      <c r="F118" s="5">
        <v>0.0</v>
      </c>
      <c r="G118" s="5">
        <f t="shared" si="1"/>
        <v>131</v>
      </c>
      <c r="H118" s="4" t="s">
        <v>45</v>
      </c>
      <c r="I118" s="4" t="s">
        <v>27</v>
      </c>
      <c r="J118" s="8" t="s">
        <v>403</v>
      </c>
      <c r="K118" s="4" t="s">
        <v>404</v>
      </c>
    </row>
    <row r="119" ht="15.75" customHeight="1">
      <c r="A119" s="4" t="s">
        <v>31</v>
      </c>
      <c r="B119" s="4" t="s">
        <v>123</v>
      </c>
      <c r="C119" s="4" t="s">
        <v>317</v>
      </c>
      <c r="D119" s="5">
        <v>49.0</v>
      </c>
      <c r="E119" s="5">
        <v>3.0</v>
      </c>
      <c r="F119" s="5">
        <v>0.0</v>
      </c>
      <c r="G119" s="5">
        <f t="shared" si="1"/>
        <v>52</v>
      </c>
      <c r="H119" s="4" t="s">
        <v>26</v>
      </c>
      <c r="I119" s="4" t="s">
        <v>72</v>
      </c>
      <c r="J119" s="8" t="s">
        <v>405</v>
      </c>
      <c r="K119" s="4" t="s">
        <v>406</v>
      </c>
    </row>
    <row r="120" ht="15.75" customHeight="1">
      <c r="A120" s="4" t="s">
        <v>36</v>
      </c>
      <c r="B120" s="4" t="s">
        <v>360</v>
      </c>
      <c r="C120" s="4" t="s">
        <v>317</v>
      </c>
      <c r="D120" s="5">
        <v>350.0</v>
      </c>
      <c r="E120" s="5">
        <v>3.0</v>
      </c>
      <c r="F120" s="5">
        <v>0.0</v>
      </c>
      <c r="G120" s="5">
        <f t="shared" si="1"/>
        <v>353</v>
      </c>
      <c r="H120" s="4" t="s">
        <v>37</v>
      </c>
      <c r="I120" s="4" t="s">
        <v>27</v>
      </c>
      <c r="J120" s="8" t="s">
        <v>407</v>
      </c>
      <c r="K120" s="4" t="s">
        <v>408</v>
      </c>
    </row>
    <row r="121" ht="15.75" customHeight="1">
      <c r="A121" s="4" t="s">
        <v>270</v>
      </c>
      <c r="B121" s="4" t="s">
        <v>409</v>
      </c>
      <c r="C121" s="4" t="s">
        <v>396</v>
      </c>
      <c r="D121" s="5">
        <v>1.0</v>
      </c>
      <c r="E121" s="5">
        <v>0.0</v>
      </c>
      <c r="F121" s="5">
        <v>0.0</v>
      </c>
      <c r="G121" s="5">
        <f t="shared" si="1"/>
        <v>1</v>
      </c>
      <c r="H121" s="4" t="s">
        <v>151</v>
      </c>
      <c r="I121" s="4" t="s">
        <v>53</v>
      </c>
      <c r="J121" s="8" t="s">
        <v>410</v>
      </c>
      <c r="K121" s="4" t="s">
        <v>411</v>
      </c>
    </row>
    <row r="122" ht="15.75" customHeight="1">
      <c r="A122" s="4" t="s">
        <v>34</v>
      </c>
      <c r="B122" s="4" t="s">
        <v>35</v>
      </c>
      <c r="C122" s="4" t="s">
        <v>396</v>
      </c>
      <c r="D122" s="5">
        <v>1.0</v>
      </c>
      <c r="E122" s="5">
        <v>0.0</v>
      </c>
      <c r="F122" s="5">
        <v>1.0</v>
      </c>
      <c r="G122" s="5">
        <f t="shared" si="1"/>
        <v>2</v>
      </c>
      <c r="H122" s="4" t="s">
        <v>37</v>
      </c>
      <c r="I122" s="4" t="s">
        <v>27</v>
      </c>
      <c r="J122" s="8" t="s">
        <v>412</v>
      </c>
      <c r="K122" s="4" t="s">
        <v>413</v>
      </c>
    </row>
    <row r="123" ht="15.75" customHeight="1">
      <c r="A123" s="4" t="s">
        <v>25</v>
      </c>
      <c r="B123" s="4" t="s">
        <v>114</v>
      </c>
      <c r="C123" s="4" t="s">
        <v>317</v>
      </c>
      <c r="D123" s="5">
        <v>43.0</v>
      </c>
      <c r="E123" s="5">
        <v>358.0</v>
      </c>
      <c r="F123" s="5">
        <v>0.0</v>
      </c>
      <c r="G123" s="5">
        <f t="shared" si="1"/>
        <v>401</v>
      </c>
      <c r="H123" s="4" t="s">
        <v>37</v>
      </c>
      <c r="I123" s="4" t="s">
        <v>27</v>
      </c>
      <c r="J123" s="8" t="s">
        <v>414</v>
      </c>
      <c r="K123" s="4" t="s">
        <v>353</v>
      </c>
    </row>
    <row r="124" ht="15.75" customHeight="1">
      <c r="A124" s="4" t="s">
        <v>31</v>
      </c>
      <c r="B124" s="4" t="s">
        <v>123</v>
      </c>
      <c r="C124" s="4" t="s">
        <v>317</v>
      </c>
      <c r="D124" s="5">
        <v>4.0</v>
      </c>
      <c r="E124" s="5">
        <v>0.0</v>
      </c>
      <c r="F124" s="5">
        <v>0.0</v>
      </c>
      <c r="G124" s="5">
        <f t="shared" si="1"/>
        <v>4</v>
      </c>
      <c r="H124" s="4" t="s">
        <v>26</v>
      </c>
      <c r="I124" s="4" t="s">
        <v>53</v>
      </c>
      <c r="J124" s="8" t="s">
        <v>415</v>
      </c>
      <c r="K124" s="4" t="s">
        <v>416</v>
      </c>
    </row>
    <row r="125" ht="15.75" customHeight="1">
      <c r="A125" s="4" t="s">
        <v>106</v>
      </c>
      <c r="B125" s="4" t="s">
        <v>366</v>
      </c>
      <c r="C125" s="4" t="s">
        <v>396</v>
      </c>
      <c r="D125" s="5">
        <v>11.0</v>
      </c>
      <c r="E125" s="5">
        <v>0.0</v>
      </c>
      <c r="F125" s="5">
        <v>0.0</v>
      </c>
      <c r="G125" s="5">
        <f t="shared" si="1"/>
        <v>11</v>
      </c>
      <c r="H125" s="4" t="s">
        <v>37</v>
      </c>
      <c r="I125" s="4" t="s">
        <v>27</v>
      </c>
      <c r="J125" s="8" t="s">
        <v>417</v>
      </c>
      <c r="K125" s="4" t="s">
        <v>418</v>
      </c>
    </row>
    <row r="126" ht="15.75" customHeight="1">
      <c r="A126" s="4" t="s">
        <v>202</v>
      </c>
      <c r="B126" s="4" t="s">
        <v>203</v>
      </c>
      <c r="C126" s="4" t="s">
        <v>419</v>
      </c>
      <c r="D126" s="5">
        <v>0.0</v>
      </c>
      <c r="E126" s="5">
        <v>0.0</v>
      </c>
      <c r="F126" s="5">
        <v>0.0</v>
      </c>
      <c r="G126" s="5">
        <f t="shared" si="1"/>
        <v>0</v>
      </c>
      <c r="H126" s="4" t="s">
        <v>37</v>
      </c>
      <c r="I126" s="4" t="s">
        <v>53</v>
      </c>
      <c r="J126" s="8" t="s">
        <v>420</v>
      </c>
      <c r="K126" s="4" t="s">
        <v>421</v>
      </c>
    </row>
    <row r="127" ht="15.75" customHeight="1">
      <c r="A127" s="4" t="s">
        <v>34</v>
      </c>
      <c r="B127" s="4" t="s">
        <v>35</v>
      </c>
      <c r="C127" s="4" t="s">
        <v>419</v>
      </c>
      <c r="D127" s="5">
        <v>0.0</v>
      </c>
      <c r="E127" s="5">
        <v>0.0</v>
      </c>
      <c r="F127" s="5">
        <v>0.0</v>
      </c>
      <c r="G127" s="5">
        <f t="shared" si="1"/>
        <v>0</v>
      </c>
      <c r="H127" s="4" t="s">
        <v>37</v>
      </c>
      <c r="I127" s="4" t="s">
        <v>27</v>
      </c>
      <c r="J127" s="8" t="s">
        <v>422</v>
      </c>
      <c r="K127" s="4" t="s">
        <v>423</v>
      </c>
    </row>
    <row r="128" ht="15.75" customHeight="1">
      <c r="A128" s="4" t="s">
        <v>25</v>
      </c>
      <c r="B128" s="4" t="s">
        <v>114</v>
      </c>
      <c r="C128" s="4" t="s">
        <v>396</v>
      </c>
      <c r="D128" s="5">
        <v>80.0</v>
      </c>
      <c r="E128" s="5">
        <v>164.0</v>
      </c>
      <c r="F128" s="5">
        <v>4.0</v>
      </c>
      <c r="G128" s="5">
        <f t="shared" si="1"/>
        <v>248</v>
      </c>
      <c r="H128" s="4" t="s">
        <v>45</v>
      </c>
      <c r="I128" s="4" t="s">
        <v>27</v>
      </c>
      <c r="J128" s="8" t="s">
        <v>424</v>
      </c>
      <c r="K128" s="4" t="s">
        <v>425</v>
      </c>
    </row>
    <row r="129" ht="15.75" customHeight="1">
      <c r="A129" s="4" t="s">
        <v>31</v>
      </c>
      <c r="B129" s="4" t="s">
        <v>123</v>
      </c>
      <c r="C129" s="4" t="s">
        <v>317</v>
      </c>
      <c r="D129" s="5">
        <v>19.0</v>
      </c>
      <c r="E129" s="5">
        <v>0.0</v>
      </c>
      <c r="F129" s="5">
        <v>2.0</v>
      </c>
      <c r="G129" s="5">
        <f t="shared" si="1"/>
        <v>21</v>
      </c>
      <c r="H129" s="4" t="s">
        <v>26</v>
      </c>
      <c r="I129" s="4" t="s">
        <v>53</v>
      </c>
      <c r="J129" s="8" t="s">
        <v>426</v>
      </c>
      <c r="K129" s="4" t="s">
        <v>427</v>
      </c>
    </row>
    <row r="130" ht="15.75" customHeight="1">
      <c r="A130" s="4" t="s">
        <v>190</v>
      </c>
      <c r="B130" s="4" t="s">
        <v>428</v>
      </c>
      <c r="C130" s="4" t="s">
        <v>419</v>
      </c>
      <c r="D130" s="5">
        <v>5.0</v>
      </c>
      <c r="E130" s="5">
        <v>2.0</v>
      </c>
      <c r="F130" s="5">
        <v>1.0</v>
      </c>
      <c r="G130" s="5">
        <f t="shared" si="1"/>
        <v>8</v>
      </c>
      <c r="H130" s="4" t="s">
        <v>26</v>
      </c>
      <c r="I130" s="4" t="s">
        <v>53</v>
      </c>
      <c r="J130" s="8" t="s">
        <v>429</v>
      </c>
      <c r="K130" s="4" t="s">
        <v>430</v>
      </c>
    </row>
    <row r="131" ht="15.75" customHeight="1">
      <c r="A131" s="4" t="s">
        <v>144</v>
      </c>
      <c r="B131" s="4" t="s">
        <v>431</v>
      </c>
      <c r="C131" s="4" t="s">
        <v>419</v>
      </c>
      <c r="D131" s="5">
        <v>17.0</v>
      </c>
      <c r="E131" s="5">
        <v>3.0</v>
      </c>
      <c r="F131" s="5">
        <v>0.0</v>
      </c>
      <c r="G131" s="5">
        <f t="shared" si="1"/>
        <v>20</v>
      </c>
      <c r="H131" s="4" t="s">
        <v>45</v>
      </c>
      <c r="I131" s="4" t="s">
        <v>27</v>
      </c>
      <c r="J131" s="8" t="s">
        <v>432</v>
      </c>
      <c r="K131" s="4" t="s">
        <v>433</v>
      </c>
    </row>
    <row r="132" ht="15.75" customHeight="1">
      <c r="A132" s="4" t="s">
        <v>34</v>
      </c>
      <c r="B132" s="4" t="s">
        <v>35</v>
      </c>
      <c r="C132" s="4" t="s">
        <v>419</v>
      </c>
      <c r="D132" s="5">
        <v>1.0</v>
      </c>
      <c r="E132" s="5">
        <v>0.0</v>
      </c>
      <c r="F132" s="5">
        <v>1.0</v>
      </c>
      <c r="G132" s="5">
        <f t="shared" si="1"/>
        <v>2</v>
      </c>
      <c r="H132" s="4" t="s">
        <v>37</v>
      </c>
      <c r="I132" s="4" t="s">
        <v>27</v>
      </c>
      <c r="J132" s="8" t="s">
        <v>434</v>
      </c>
      <c r="K132" s="4" t="s">
        <v>435</v>
      </c>
    </row>
    <row r="133" ht="15.75" customHeight="1">
      <c r="A133" s="4" t="s">
        <v>31</v>
      </c>
      <c r="B133" s="4" t="s">
        <v>123</v>
      </c>
      <c r="C133" s="4" t="s">
        <v>317</v>
      </c>
      <c r="D133" s="5">
        <v>51.0</v>
      </c>
      <c r="E133" s="5">
        <v>4.0</v>
      </c>
      <c r="F133" s="5">
        <v>1.0</v>
      </c>
      <c r="G133" s="5">
        <f t="shared" si="1"/>
        <v>56</v>
      </c>
      <c r="H133" s="4" t="s">
        <v>26</v>
      </c>
      <c r="I133" s="4" t="s">
        <v>53</v>
      </c>
      <c r="J133" s="8" t="s">
        <v>436</v>
      </c>
      <c r="K133" s="4" t="s">
        <v>437</v>
      </c>
    </row>
    <row r="134" ht="15.75" customHeight="1">
      <c r="A134" s="4" t="s">
        <v>77</v>
      </c>
      <c r="B134" s="4" t="s">
        <v>145</v>
      </c>
      <c r="C134" s="4" t="s">
        <v>419</v>
      </c>
      <c r="D134" s="5">
        <v>14.0</v>
      </c>
      <c r="E134" s="5">
        <v>3.0</v>
      </c>
      <c r="F134" s="5">
        <v>0.0</v>
      </c>
      <c r="G134" s="5">
        <f t="shared" si="1"/>
        <v>17</v>
      </c>
      <c r="H134" s="4" t="s">
        <v>37</v>
      </c>
      <c r="I134" s="4" t="s">
        <v>27</v>
      </c>
      <c r="J134" s="8" t="s">
        <v>438</v>
      </c>
      <c r="K134" s="4" t="s">
        <v>439</v>
      </c>
    </row>
    <row r="135" ht="15.75" customHeight="1">
      <c r="A135" s="4" t="s">
        <v>166</v>
      </c>
      <c r="B135" s="4" t="s">
        <v>440</v>
      </c>
      <c r="C135" s="4" t="s">
        <v>419</v>
      </c>
      <c r="D135" s="5">
        <v>11.0</v>
      </c>
      <c r="E135" s="5">
        <v>0.0</v>
      </c>
      <c r="F135" s="5">
        <v>2.0</v>
      </c>
      <c r="G135" s="5">
        <f t="shared" si="1"/>
        <v>13</v>
      </c>
      <c r="H135" s="4" t="s">
        <v>26</v>
      </c>
      <c r="I135" s="4" t="s">
        <v>27</v>
      </c>
      <c r="J135" s="8" t="s">
        <v>441</v>
      </c>
      <c r="K135" s="4" t="s">
        <v>442</v>
      </c>
    </row>
    <row r="136" ht="15.75" customHeight="1">
      <c r="A136" s="4" t="s">
        <v>41</v>
      </c>
      <c r="B136" s="4" t="s">
        <v>101</v>
      </c>
      <c r="C136" s="4" t="s">
        <v>419</v>
      </c>
      <c r="D136" s="5">
        <v>81.0</v>
      </c>
      <c r="E136" s="5">
        <v>16.0</v>
      </c>
      <c r="F136" s="5">
        <v>0.0</v>
      </c>
      <c r="G136" s="5">
        <f t="shared" si="1"/>
        <v>97</v>
      </c>
      <c r="H136" s="4" t="s">
        <v>45</v>
      </c>
      <c r="I136" s="4" t="s">
        <v>27</v>
      </c>
      <c r="J136" s="8" t="s">
        <v>443</v>
      </c>
      <c r="K136" s="4" t="s">
        <v>444</v>
      </c>
    </row>
    <row r="137" ht="15.75" customHeight="1">
      <c r="A137" s="4" t="s">
        <v>34</v>
      </c>
      <c r="B137" s="4" t="s">
        <v>35</v>
      </c>
      <c r="C137" s="4" t="s">
        <v>419</v>
      </c>
      <c r="D137" s="5">
        <v>1.0</v>
      </c>
      <c r="E137" s="5">
        <v>0.0</v>
      </c>
      <c r="F137" s="5">
        <v>1.0</v>
      </c>
      <c r="G137" s="5">
        <f t="shared" si="1"/>
        <v>2</v>
      </c>
      <c r="H137" s="4" t="s">
        <v>37</v>
      </c>
      <c r="I137" s="4" t="s">
        <v>27</v>
      </c>
      <c r="J137" s="8" t="s">
        <v>445</v>
      </c>
      <c r="K137" s="4" t="s">
        <v>446</v>
      </c>
    </row>
    <row r="138" ht="15.75" customHeight="1">
      <c r="A138" s="4" t="s">
        <v>31</v>
      </c>
      <c r="B138" s="4" t="s">
        <v>123</v>
      </c>
      <c r="C138" s="4" t="s">
        <v>317</v>
      </c>
      <c r="D138" s="5">
        <v>17.0</v>
      </c>
      <c r="E138" s="5">
        <v>0.0</v>
      </c>
      <c r="F138" s="5">
        <v>2.0</v>
      </c>
      <c r="G138" s="5">
        <f t="shared" si="1"/>
        <v>19</v>
      </c>
      <c r="H138" s="4" t="s">
        <v>26</v>
      </c>
      <c r="I138" s="4" t="s">
        <v>53</v>
      </c>
      <c r="J138" s="8" t="s">
        <v>447</v>
      </c>
      <c r="K138" s="4" t="s">
        <v>448</v>
      </c>
    </row>
    <row r="139" ht="15.75" customHeight="1">
      <c r="A139" s="4" t="s">
        <v>148</v>
      </c>
      <c r="B139" s="4" t="s">
        <v>150</v>
      </c>
      <c r="C139" s="4" t="s">
        <v>419</v>
      </c>
      <c r="D139" s="5">
        <v>0.0</v>
      </c>
      <c r="E139" s="5">
        <v>0.0</v>
      </c>
      <c r="F139" s="5">
        <v>0.0</v>
      </c>
      <c r="G139" s="5">
        <f t="shared" si="1"/>
        <v>0</v>
      </c>
      <c r="H139" s="4" t="s">
        <v>151</v>
      </c>
      <c r="I139" s="4" t="s">
        <v>27</v>
      </c>
      <c r="J139" s="8" t="s">
        <v>449</v>
      </c>
      <c r="K139" s="4" t="s">
        <v>450</v>
      </c>
    </row>
    <row r="140" ht="15.75" customHeight="1">
      <c r="A140" s="4" t="s">
        <v>67</v>
      </c>
      <c r="B140" s="4" t="s">
        <v>68</v>
      </c>
      <c r="C140" s="4" t="s">
        <v>419</v>
      </c>
      <c r="D140" s="5">
        <v>1.0</v>
      </c>
      <c r="E140" s="5">
        <v>0.0</v>
      </c>
      <c r="F140" s="5">
        <v>0.0</v>
      </c>
      <c r="G140" s="5">
        <f t="shared" si="1"/>
        <v>1</v>
      </c>
      <c r="H140" s="4" t="s">
        <v>26</v>
      </c>
      <c r="I140" s="4" t="s">
        <v>27</v>
      </c>
      <c r="J140" s="8" t="s">
        <v>451</v>
      </c>
      <c r="K140" s="4" t="s">
        <v>452</v>
      </c>
    </row>
    <row r="141" ht="15.75" customHeight="1">
      <c r="A141" s="4" t="s">
        <v>31</v>
      </c>
      <c r="B141" s="4" t="s">
        <v>123</v>
      </c>
      <c r="C141" s="4" t="s">
        <v>317</v>
      </c>
      <c r="D141" s="5">
        <v>163.0</v>
      </c>
      <c r="E141" s="5">
        <v>13.0</v>
      </c>
      <c r="F141" s="5">
        <v>3.0</v>
      </c>
      <c r="G141" s="5">
        <f t="shared" si="1"/>
        <v>179</v>
      </c>
      <c r="H141" s="4" t="s">
        <v>26</v>
      </c>
      <c r="I141" s="4" t="s">
        <v>53</v>
      </c>
      <c r="J141" s="8" t="s">
        <v>453</v>
      </c>
      <c r="K141" s="4" t="s">
        <v>454</v>
      </c>
    </row>
    <row r="142" ht="15.75" customHeight="1">
      <c r="A142" s="4" t="s">
        <v>34</v>
      </c>
      <c r="B142" s="4" t="s">
        <v>35</v>
      </c>
      <c r="C142" s="4" t="s">
        <v>419</v>
      </c>
      <c r="D142" s="5">
        <v>1.0</v>
      </c>
      <c r="E142" s="5">
        <v>0.0</v>
      </c>
      <c r="F142" s="5">
        <v>1.0</v>
      </c>
      <c r="G142" s="5">
        <f t="shared" si="1"/>
        <v>2</v>
      </c>
      <c r="H142" s="4" t="s">
        <v>37</v>
      </c>
      <c r="I142" s="4" t="s">
        <v>27</v>
      </c>
      <c r="J142" s="8" t="s">
        <v>455</v>
      </c>
      <c r="K142" s="4" t="s">
        <v>456</v>
      </c>
    </row>
    <row r="143" ht="15.75" customHeight="1">
      <c r="A143" s="4" t="s">
        <v>42</v>
      </c>
      <c r="B143" s="4" t="s">
        <v>43</v>
      </c>
      <c r="C143" s="4" t="s">
        <v>419</v>
      </c>
      <c r="D143" s="5">
        <v>15.0</v>
      </c>
      <c r="E143" s="5">
        <v>1.0</v>
      </c>
      <c r="F143" s="5">
        <v>0.0</v>
      </c>
      <c r="G143" s="5">
        <f t="shared" si="1"/>
        <v>16</v>
      </c>
      <c r="H143" s="4" t="s">
        <v>26</v>
      </c>
      <c r="I143" s="4" t="s">
        <v>53</v>
      </c>
      <c r="J143" s="8" t="s">
        <v>457</v>
      </c>
      <c r="K143" s="4" t="s">
        <v>458</v>
      </c>
    </row>
    <row r="144" ht="15.75" customHeight="1">
      <c r="A144" s="4" t="s">
        <v>77</v>
      </c>
      <c r="B144" s="4" t="s">
        <v>145</v>
      </c>
      <c r="C144" s="4" t="s">
        <v>419</v>
      </c>
      <c r="D144" s="5">
        <v>16.0</v>
      </c>
      <c r="E144" s="5">
        <v>2.0</v>
      </c>
      <c r="F144" s="5">
        <v>0.0</v>
      </c>
      <c r="G144" s="5">
        <f t="shared" si="1"/>
        <v>18</v>
      </c>
      <c r="H144" s="4" t="s">
        <v>37</v>
      </c>
      <c r="I144" s="4" t="s">
        <v>27</v>
      </c>
      <c r="J144" s="8" t="s">
        <v>459</v>
      </c>
      <c r="K144" s="4" t="s">
        <v>460</v>
      </c>
    </row>
    <row r="145" ht="15.75" customHeight="1">
      <c r="A145" s="4" t="s">
        <v>73</v>
      </c>
      <c r="B145" s="4" t="s">
        <v>363</v>
      </c>
      <c r="C145" s="4" t="s">
        <v>419</v>
      </c>
      <c r="D145" s="5">
        <v>27.0</v>
      </c>
      <c r="E145" s="5">
        <v>39.0</v>
      </c>
      <c r="F145" s="5">
        <v>0.0</v>
      </c>
      <c r="G145" s="5">
        <f t="shared" si="1"/>
        <v>66</v>
      </c>
      <c r="H145" s="4" t="s">
        <v>37</v>
      </c>
      <c r="I145" s="4" t="s">
        <v>72</v>
      </c>
      <c r="J145" s="8" t="s">
        <v>461</v>
      </c>
      <c r="K145" s="4" t="s">
        <v>462</v>
      </c>
    </row>
    <row r="146" ht="15.75" customHeight="1">
      <c r="A146" s="4" t="s">
        <v>67</v>
      </c>
      <c r="B146" s="4" t="s">
        <v>68</v>
      </c>
      <c r="C146" s="4" t="s">
        <v>419</v>
      </c>
      <c r="D146" s="5">
        <v>1.0</v>
      </c>
      <c r="E146" s="5">
        <v>0.0</v>
      </c>
      <c r="F146" s="5">
        <v>0.0</v>
      </c>
      <c r="G146" s="5">
        <f t="shared" si="1"/>
        <v>1</v>
      </c>
      <c r="H146" s="4" t="s">
        <v>26</v>
      </c>
      <c r="I146" s="4" t="s">
        <v>27</v>
      </c>
      <c r="J146" s="8" t="s">
        <v>463</v>
      </c>
      <c r="K146" s="4" t="s">
        <v>464</v>
      </c>
    </row>
    <row r="147" ht="15.75" customHeight="1">
      <c r="A147" s="4" t="s">
        <v>31</v>
      </c>
      <c r="B147" s="4" t="s">
        <v>123</v>
      </c>
      <c r="C147" s="4" t="s">
        <v>396</v>
      </c>
      <c r="D147" s="5">
        <v>20.0</v>
      </c>
      <c r="E147" s="5">
        <v>0.0</v>
      </c>
      <c r="F147" s="5">
        <v>1.0</v>
      </c>
      <c r="G147" s="5">
        <f t="shared" si="1"/>
        <v>21</v>
      </c>
      <c r="H147" s="4" t="s">
        <v>26</v>
      </c>
      <c r="I147" s="4" t="s">
        <v>53</v>
      </c>
      <c r="J147" s="8" t="s">
        <v>465</v>
      </c>
      <c r="K147" s="4" t="s">
        <v>466</v>
      </c>
    </row>
    <row r="148" ht="15.75" customHeight="1">
      <c r="A148" s="4" t="s">
        <v>149</v>
      </c>
      <c r="B148" s="4" t="s">
        <v>467</v>
      </c>
      <c r="C148" s="4" t="s">
        <v>419</v>
      </c>
      <c r="D148" s="5">
        <v>10.0</v>
      </c>
      <c r="E148" s="5">
        <v>9.0</v>
      </c>
      <c r="F148" s="5">
        <v>0.0</v>
      </c>
      <c r="G148" s="5">
        <f t="shared" si="1"/>
        <v>19</v>
      </c>
      <c r="H148" s="4" t="s">
        <v>45</v>
      </c>
      <c r="I148" s="4" t="s">
        <v>27</v>
      </c>
      <c r="J148" s="8" t="s">
        <v>468</v>
      </c>
      <c r="K148" s="4" t="s">
        <v>469</v>
      </c>
    </row>
    <row r="149" ht="15.75" customHeight="1">
      <c r="A149" s="4" t="s">
        <v>65</v>
      </c>
      <c r="B149" s="4" t="s">
        <v>470</v>
      </c>
      <c r="C149" s="4" t="s">
        <v>419</v>
      </c>
      <c r="D149" s="5">
        <v>81.0</v>
      </c>
      <c r="E149" s="5">
        <v>12.0</v>
      </c>
      <c r="F149" s="5">
        <v>8.0</v>
      </c>
      <c r="G149" s="5">
        <f t="shared" si="1"/>
        <v>101</v>
      </c>
      <c r="H149" s="4" t="s">
        <v>26</v>
      </c>
      <c r="I149" s="4" t="s">
        <v>27</v>
      </c>
      <c r="J149" s="8" t="s">
        <v>471</v>
      </c>
      <c r="K149" s="4" t="s">
        <v>472</v>
      </c>
    </row>
    <row r="150" ht="15.75" customHeight="1">
      <c r="A150" s="4" t="s">
        <v>136</v>
      </c>
      <c r="B150" s="4" t="s">
        <v>137</v>
      </c>
      <c r="C150" s="4" t="s">
        <v>419</v>
      </c>
      <c r="D150" s="5">
        <v>5.0</v>
      </c>
      <c r="E150" s="5">
        <v>0.0</v>
      </c>
      <c r="F150" s="5">
        <v>0.0</v>
      </c>
      <c r="G150" s="5">
        <f t="shared" si="1"/>
        <v>5</v>
      </c>
      <c r="H150" s="4" t="s">
        <v>37</v>
      </c>
      <c r="I150" s="4" t="s">
        <v>27</v>
      </c>
      <c r="J150" s="8" t="s">
        <v>473</v>
      </c>
      <c r="K150" s="4" t="s">
        <v>474</v>
      </c>
    </row>
    <row r="151" ht="15.75" customHeight="1">
      <c r="A151" s="4" t="s">
        <v>67</v>
      </c>
      <c r="B151" s="4" t="s">
        <v>68</v>
      </c>
      <c r="C151" s="4" t="s">
        <v>419</v>
      </c>
      <c r="D151" s="5">
        <v>1.0</v>
      </c>
      <c r="E151" s="5">
        <v>0.0</v>
      </c>
      <c r="F151" s="5">
        <v>0.0</v>
      </c>
      <c r="G151" s="5">
        <f t="shared" si="1"/>
        <v>1</v>
      </c>
      <c r="H151" s="4" t="s">
        <v>26</v>
      </c>
      <c r="I151" s="4" t="s">
        <v>27</v>
      </c>
      <c r="J151" s="8" t="s">
        <v>475</v>
      </c>
      <c r="K151" s="4" t="s">
        <v>476</v>
      </c>
    </row>
    <row r="152" ht="15.75" customHeight="1"/>
    <row r="153" ht="15.75" customHeight="1">
      <c r="B153" s="9" t="str">
        <f>COUNTA(A5:A151) &amp; " posts"</f>
        <v>147 posts</v>
      </c>
      <c r="C153" s="9" t="s">
        <v>477</v>
      </c>
      <c r="D153" s="9">
        <f t="shared" ref="D153:G153" si="2">SUM(D5:D151)</f>
        <v>3547</v>
      </c>
      <c r="E153" s="9">
        <f t="shared" si="2"/>
        <v>1920</v>
      </c>
      <c r="F153" s="9">
        <f t="shared" si="2"/>
        <v>135</v>
      </c>
      <c r="G153" s="9">
        <f t="shared" si="2"/>
        <v>5602</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hyperlinks>
    <hyperlink r:id="rId1" ref="J5"/>
    <hyperlink r:id="rId2" ref="J6"/>
    <hyperlink r:id="rId3" ref="J7"/>
    <hyperlink r:id="rId4" ref="J8"/>
    <hyperlink r:id="rId5" ref="J9"/>
    <hyperlink r:id="rId6" ref="J10"/>
    <hyperlink r:id="rId7" ref="J11"/>
    <hyperlink r:id="rId8" ref="J12"/>
    <hyperlink r:id="rId9" ref="J13"/>
    <hyperlink r:id="rId10" ref="J14"/>
    <hyperlink r:id="rId11" ref="J15"/>
    <hyperlink r:id="rId12" ref="J16"/>
    <hyperlink r:id="rId13" ref="J17"/>
    <hyperlink r:id="rId14" ref="J18"/>
    <hyperlink r:id="rId15" ref="J19"/>
    <hyperlink r:id="rId16" ref="J20"/>
    <hyperlink r:id="rId17" ref="J21"/>
    <hyperlink r:id="rId18" ref="J22"/>
    <hyperlink r:id="rId19" ref="J23"/>
    <hyperlink r:id="rId20" ref="J24"/>
    <hyperlink r:id="rId21" ref="J25"/>
    <hyperlink r:id="rId22" ref="J26"/>
    <hyperlink r:id="rId23" ref="J27"/>
    <hyperlink r:id="rId24" ref="J28"/>
    <hyperlink r:id="rId25" ref="J29"/>
    <hyperlink r:id="rId26" ref="J30"/>
    <hyperlink r:id="rId27" ref="J31"/>
    <hyperlink r:id="rId28" ref="J32"/>
    <hyperlink r:id="rId29" ref="J33"/>
    <hyperlink r:id="rId30" ref="J34"/>
    <hyperlink r:id="rId31" ref="J35"/>
    <hyperlink r:id="rId32" ref="J36"/>
    <hyperlink r:id="rId33" ref="J37"/>
    <hyperlink r:id="rId34" ref="J38"/>
    <hyperlink r:id="rId35" ref="J39"/>
    <hyperlink r:id="rId36" ref="J40"/>
    <hyperlink r:id="rId37" ref="J41"/>
    <hyperlink r:id="rId38" ref="J42"/>
    <hyperlink r:id="rId39" ref="J43"/>
    <hyperlink r:id="rId40" ref="J44"/>
    <hyperlink r:id="rId41" ref="J45"/>
    <hyperlink r:id="rId42" ref="J46"/>
    <hyperlink r:id="rId43" ref="J47"/>
    <hyperlink r:id="rId44" ref="J48"/>
    <hyperlink r:id="rId45" ref="J49"/>
    <hyperlink r:id="rId46" ref="J50"/>
    <hyperlink r:id="rId47" ref="J51"/>
    <hyperlink r:id="rId48" ref="J52"/>
    <hyperlink r:id="rId49" ref="J53"/>
    <hyperlink r:id="rId50" ref="J54"/>
    <hyperlink r:id="rId51" ref="J55"/>
    <hyperlink r:id="rId52" ref="J56"/>
    <hyperlink r:id="rId53" ref="J57"/>
    <hyperlink r:id="rId54" ref="J58"/>
    <hyperlink r:id="rId55" ref="J59"/>
    <hyperlink r:id="rId56" ref="J60"/>
    <hyperlink r:id="rId57" ref="J61"/>
    <hyperlink r:id="rId58" ref="J62"/>
    <hyperlink r:id="rId59" ref="J63"/>
    <hyperlink r:id="rId60" ref="J64"/>
    <hyperlink r:id="rId61" ref="J65"/>
    <hyperlink r:id="rId62" ref="J66"/>
    <hyperlink r:id="rId63" ref="J67"/>
    <hyperlink r:id="rId64" ref="J68"/>
    <hyperlink r:id="rId65" ref="J69"/>
    <hyperlink r:id="rId66" ref="J70"/>
    <hyperlink r:id="rId67" ref="J71"/>
    <hyperlink r:id="rId68" ref="J72"/>
    <hyperlink r:id="rId69" ref="J73"/>
    <hyperlink r:id="rId70" ref="J74"/>
    <hyperlink r:id="rId71" ref="J75"/>
    <hyperlink r:id="rId72" ref="J76"/>
    <hyperlink r:id="rId73" ref="J77"/>
    <hyperlink r:id="rId74" ref="J78"/>
    <hyperlink r:id="rId75" ref="J79"/>
    <hyperlink r:id="rId76" ref="J80"/>
    <hyperlink r:id="rId77" ref="J81"/>
    <hyperlink r:id="rId78" ref="J82"/>
    <hyperlink r:id="rId79" ref="J83"/>
    <hyperlink r:id="rId80" ref="J84"/>
    <hyperlink r:id="rId81" ref="J85"/>
    <hyperlink r:id="rId82" ref="J86"/>
    <hyperlink r:id="rId83" ref="J87"/>
    <hyperlink r:id="rId84" ref="J88"/>
    <hyperlink r:id="rId85" ref="J89"/>
    <hyperlink r:id="rId86" ref="J90"/>
    <hyperlink r:id="rId87" ref="J91"/>
    <hyperlink r:id="rId88" ref="J92"/>
    <hyperlink r:id="rId89" ref="J93"/>
    <hyperlink r:id="rId90" ref="J94"/>
    <hyperlink r:id="rId91" ref="J95"/>
    <hyperlink r:id="rId92" ref="J96"/>
    <hyperlink r:id="rId93" ref="J97"/>
    <hyperlink r:id="rId94" ref="J98"/>
    <hyperlink r:id="rId95" ref="J99"/>
    <hyperlink r:id="rId96" ref="J100"/>
    <hyperlink r:id="rId97" ref="J101"/>
    <hyperlink r:id="rId98" ref="J102"/>
    <hyperlink r:id="rId99" ref="J103"/>
    <hyperlink r:id="rId100" ref="J104"/>
    <hyperlink r:id="rId101" ref="J105"/>
    <hyperlink r:id="rId102" ref="J106"/>
    <hyperlink r:id="rId103" ref="J107"/>
    <hyperlink r:id="rId104" ref="J108"/>
    <hyperlink r:id="rId105" ref="J109"/>
    <hyperlink r:id="rId106" ref="J110"/>
    <hyperlink r:id="rId107" ref="J111"/>
    <hyperlink r:id="rId108" ref="J112"/>
    <hyperlink r:id="rId109" ref="J113"/>
    <hyperlink r:id="rId110" ref="J114"/>
    <hyperlink r:id="rId111" ref="J115"/>
    <hyperlink r:id="rId112" ref="J116"/>
    <hyperlink r:id="rId113" ref="J117"/>
    <hyperlink r:id="rId114" ref="J118"/>
    <hyperlink r:id="rId115" ref="J119"/>
    <hyperlink r:id="rId116" ref="J120"/>
    <hyperlink r:id="rId117" ref="J121"/>
    <hyperlink r:id="rId118" ref="J122"/>
    <hyperlink r:id="rId119" ref="J123"/>
    <hyperlink r:id="rId120" ref="J124"/>
    <hyperlink r:id="rId121" ref="J125"/>
    <hyperlink r:id="rId122" ref="J126"/>
    <hyperlink r:id="rId123" ref="J127"/>
    <hyperlink r:id="rId124" ref="J128"/>
    <hyperlink r:id="rId125" ref="J129"/>
    <hyperlink r:id="rId126" ref="J130"/>
    <hyperlink r:id="rId127" ref="J131"/>
    <hyperlink r:id="rId128" ref="J132"/>
    <hyperlink r:id="rId129" ref="J133"/>
    <hyperlink r:id="rId130" ref="J134"/>
    <hyperlink r:id="rId131" ref="J135"/>
    <hyperlink r:id="rId132" ref="J136"/>
    <hyperlink r:id="rId133" ref="J137"/>
    <hyperlink r:id="rId134" ref="J138"/>
    <hyperlink r:id="rId135" ref="J139"/>
    <hyperlink r:id="rId136" ref="J140"/>
    <hyperlink r:id="rId137" ref="J141"/>
    <hyperlink r:id="rId138" ref="J142"/>
    <hyperlink r:id="rId139" ref="J143"/>
    <hyperlink r:id="rId140" ref="J144"/>
    <hyperlink r:id="rId141" ref="J145"/>
    <hyperlink r:id="rId142" ref="J146"/>
    <hyperlink r:id="rId143" ref="J147"/>
    <hyperlink r:id="rId144" ref="J148"/>
    <hyperlink r:id="rId145" ref="J149"/>
    <hyperlink r:id="rId146" ref="J150"/>
    <hyperlink r:id="rId147" ref="J151"/>
  </hyperlinks>
  <printOptions/>
  <pageMargins bottom="1.0" footer="0.0" header="0.0" left="0.75" right="0.75" top="1.0"/>
  <pageSetup paperSize="9" orientation="portrait"/>
  <drawing r:id="rId1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2.0"/>
    <col customWidth="1" min="3" max="3" width="16.0"/>
    <col customWidth="1" min="4" max="4" width="20.0"/>
    <col customWidth="1" min="5" max="5" width="14.0"/>
    <col customWidth="1" min="6" max="26" width="8.71"/>
  </cols>
  <sheetData>
    <row r="1">
      <c r="A1" s="1" t="s">
        <v>0</v>
      </c>
    </row>
    <row r="2">
      <c r="A2" s="2" t="s">
        <v>1</v>
      </c>
    </row>
    <row r="4">
      <c r="A4" s="3" t="s">
        <v>2</v>
      </c>
      <c r="B4" s="3" t="s">
        <v>4</v>
      </c>
      <c r="C4" s="3" t="s">
        <v>5</v>
      </c>
      <c r="D4" s="3" t="s">
        <v>6</v>
      </c>
      <c r="E4" s="3" t="s">
        <v>7</v>
      </c>
    </row>
    <row r="5">
      <c r="A5" s="4" t="s">
        <v>8</v>
      </c>
      <c r="B5" s="5">
        <f>COUNTIF(Posts!$H$5:$H$151,"hiring")</f>
        <v>37</v>
      </c>
      <c r="C5" s="5">
        <f>SUMIF(Posts!$H$5:$H$151,"hiring",Posts!$G$5:$G$151)</f>
        <v>1661</v>
      </c>
      <c r="D5" s="6">
        <f t="shared" ref="D5:D10" si="1">IFERROR(C5/B5,0)</f>
        <v>44.89189189</v>
      </c>
      <c r="E5" s="7">
        <f t="shared" ref="E5:E10" si="2">B5/147</f>
        <v>0.2517006803</v>
      </c>
    </row>
    <row r="6">
      <c r="A6" s="4" t="s">
        <v>29</v>
      </c>
      <c r="B6" s="5">
        <f>COUNTIF(Posts!$H$5:$H$151,"leadgen_coaching")</f>
        <v>7</v>
      </c>
      <c r="C6" s="5">
        <f>SUMIF(Posts!$H$5:$H$151,"leadgen_coaching",Posts!$G$5:$G$151)</f>
        <v>13</v>
      </c>
      <c r="D6" s="6">
        <f t="shared" si="1"/>
        <v>1.857142857</v>
      </c>
      <c r="E6" s="7">
        <f t="shared" si="2"/>
        <v>0.04761904762</v>
      </c>
    </row>
    <row r="7">
      <c r="A7" s="4" t="s">
        <v>30</v>
      </c>
      <c r="B7" s="5">
        <f>COUNTIF(Posts!$H$5:$H$151,"thought_leadership")</f>
        <v>21</v>
      </c>
      <c r="C7" s="5">
        <f>SUMIF(Posts!$H$5:$H$151,"thought_leadership",Posts!$G$5:$G$151)</f>
        <v>1127</v>
      </c>
      <c r="D7" s="6">
        <f t="shared" si="1"/>
        <v>53.66666667</v>
      </c>
      <c r="E7" s="7">
        <f t="shared" si="2"/>
        <v>0.1428571429</v>
      </c>
    </row>
    <row r="8">
      <c r="A8" s="4" t="s">
        <v>32</v>
      </c>
      <c r="B8" s="5">
        <f>COUNTIF(Posts!$H$5:$H$151,"company_promo")</f>
        <v>0</v>
      </c>
      <c r="C8" s="5">
        <f>SUMIF(Posts!$H$5:$H$151,"company_promo",Posts!$G$5:$G$151)</f>
        <v>0</v>
      </c>
      <c r="D8" s="6">
        <f t="shared" si="1"/>
        <v>0</v>
      </c>
      <c r="E8" s="7">
        <f t="shared" si="2"/>
        <v>0</v>
      </c>
    </row>
    <row r="9">
      <c r="A9" s="4" t="s">
        <v>39</v>
      </c>
      <c r="B9" s="5">
        <f>COUNTIF(Posts!$H$5:$H$151,"job_seeking")</f>
        <v>0</v>
      </c>
      <c r="C9" s="5">
        <f>SUMIF(Posts!$H$5:$H$151,"job_seeking",Posts!$G$5:$G$151)</f>
        <v>0</v>
      </c>
      <c r="D9" s="6">
        <f t="shared" si="1"/>
        <v>0</v>
      </c>
      <c r="E9" s="7">
        <f t="shared" si="2"/>
        <v>0</v>
      </c>
    </row>
    <row r="10">
      <c r="A10" s="4" t="s">
        <v>47</v>
      </c>
      <c r="B10" s="5">
        <f>COUNTIF(Posts!$H$5:$H$151,"other")</f>
        <v>82</v>
      </c>
      <c r="C10" s="5">
        <f>SUMIF(Posts!$H$5:$H$151,"other",Posts!$G$5:$G$151)</f>
        <v>2801</v>
      </c>
      <c r="D10" s="6">
        <f t="shared" si="1"/>
        <v>34.15853659</v>
      </c>
      <c r="E10" s="7">
        <f t="shared" si="2"/>
        <v>0.5578231293</v>
      </c>
    </row>
    <row r="11">
      <c r="A11" s="9" t="s">
        <v>55</v>
      </c>
      <c r="B11" s="9">
        <f t="shared" ref="B11:C11" si="3">SUM(B5:B10)</f>
        <v>147</v>
      </c>
      <c r="C11" s="9">
        <f t="shared" si="3"/>
        <v>5602</v>
      </c>
    </row>
    <row r="14">
      <c r="A14" s="1" t="s">
        <v>57</v>
      </c>
    </row>
    <row r="15">
      <c r="A15" s="2" t="s">
        <v>59</v>
      </c>
    </row>
    <row r="17">
      <c r="A17" s="3" t="s">
        <v>18</v>
      </c>
      <c r="B17" s="3" t="s">
        <v>4</v>
      </c>
      <c r="C17" s="3" t="s">
        <v>5</v>
      </c>
      <c r="D17" s="3" t="s">
        <v>6</v>
      </c>
      <c r="E17" s="3" t="s">
        <v>7</v>
      </c>
    </row>
    <row r="18">
      <c r="A18" s="4" t="s">
        <v>27</v>
      </c>
      <c r="B18" s="5">
        <f>COUNTIF(Posts!$I$5:$I$151,"Spanish")</f>
        <v>110</v>
      </c>
      <c r="C18" s="5">
        <f>SUMIF(Posts!$I$5:$I$151,"Spanish",Posts!$G$5:$G$151)</f>
        <v>4292</v>
      </c>
      <c r="D18" s="6">
        <f t="shared" ref="D18:D20" si="4">IFERROR(C18/B18,0)</f>
        <v>39.01818182</v>
      </c>
      <c r="E18" s="7">
        <f t="shared" ref="E18:E20" si="5">B18/147</f>
        <v>0.7482993197</v>
      </c>
    </row>
    <row r="19">
      <c r="A19" s="4" t="s">
        <v>53</v>
      </c>
      <c r="B19" s="5">
        <f>COUNTIF(Posts!$I$5:$I$151,"English")</f>
        <v>34</v>
      </c>
      <c r="C19" s="5">
        <f>SUMIF(Posts!$I$5:$I$151,"English",Posts!$G$5:$G$151)</f>
        <v>1166</v>
      </c>
      <c r="D19" s="6">
        <f t="shared" si="4"/>
        <v>34.29411765</v>
      </c>
      <c r="E19" s="7">
        <f t="shared" si="5"/>
        <v>0.231292517</v>
      </c>
    </row>
    <row r="20">
      <c r="A20" s="4" t="s">
        <v>72</v>
      </c>
      <c r="B20" s="5">
        <f>COUNTIF(Posts!$I$5:$I$151,"Portuguese")</f>
        <v>3</v>
      </c>
      <c r="C20" s="5">
        <f>SUMIF(Posts!$I$5:$I$151,"Portuguese",Posts!$G$5:$G$151)</f>
        <v>144</v>
      </c>
      <c r="D20" s="6">
        <f t="shared" si="4"/>
        <v>48</v>
      </c>
      <c r="E20" s="7">
        <f t="shared" si="5"/>
        <v>0.02040816327</v>
      </c>
    </row>
    <row r="21" ht="15.75" customHeight="1">
      <c r="A21" s="9" t="s">
        <v>55</v>
      </c>
      <c r="B21" s="9">
        <f t="shared" ref="B21:C21" si="6">SUM(B18:B20)</f>
        <v>147</v>
      </c>
      <c r="C21" s="9">
        <f t="shared" si="6"/>
        <v>5602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14:E14"/>
    <mergeCell ref="A15:E15"/>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2.0"/>
    <col customWidth="1" min="2" max="2" width="15.0"/>
    <col customWidth="1" min="3" max="3" width="16.0"/>
    <col customWidth="1" min="4" max="4" width="18.0"/>
    <col customWidth="1" min="5" max="26" width="8.71"/>
  </cols>
  <sheetData>
    <row r="1">
      <c r="A1" s="1" t="s">
        <v>13</v>
      </c>
    </row>
    <row r="2">
      <c r="A2" s="2" t="s">
        <v>17</v>
      </c>
    </row>
    <row r="4">
      <c r="A4" s="3" t="s">
        <v>10</v>
      </c>
      <c r="B4" s="3" t="s">
        <v>22</v>
      </c>
      <c r="C4" s="3" t="s">
        <v>5</v>
      </c>
      <c r="D4" s="3" t="s">
        <v>6</v>
      </c>
    </row>
    <row r="5">
      <c r="A5" s="4" t="s">
        <v>25</v>
      </c>
      <c r="B5" s="5">
        <f>COUNTIF(Posts!$A$5:$A$151,"Amarilis Gonzalez")</f>
        <v>11</v>
      </c>
      <c r="C5" s="5">
        <f>SUMIF(Posts!$A$5:$A$151,"Amarilis Gonzalez",Posts!$G$5:$G$151)</f>
        <v>1630</v>
      </c>
      <c r="D5" s="6">
        <f t="shared" ref="D5:D69" si="1">IFERROR(C5/B5,0)</f>
        <v>148.1818182</v>
      </c>
    </row>
    <row r="6">
      <c r="A6" s="4" t="s">
        <v>31</v>
      </c>
      <c r="B6" s="5">
        <f>COUNTIF(Posts!$A$5:$A$151,"Monika Saleta, DrBA")</f>
        <v>12</v>
      </c>
      <c r="C6" s="5">
        <f>SUMIF(Posts!$A$5:$A$151,"Monika Saleta, DrBA",Posts!$G$5:$G$151)</f>
        <v>1000</v>
      </c>
      <c r="D6" s="6">
        <f t="shared" si="1"/>
        <v>83.33333333</v>
      </c>
    </row>
    <row r="7">
      <c r="A7" s="4" t="s">
        <v>36</v>
      </c>
      <c r="B7" s="5">
        <f>COUNTIF(Posts!$A$5:$A$151,"Maxence Marius")</f>
        <v>2</v>
      </c>
      <c r="C7" s="5">
        <f>SUMIF(Posts!$A$5:$A$151,"Maxence Marius",Posts!$G$5:$G$151)</f>
        <v>719</v>
      </c>
      <c r="D7" s="6">
        <f t="shared" si="1"/>
        <v>359.5</v>
      </c>
    </row>
    <row r="8">
      <c r="A8" s="4" t="s">
        <v>41</v>
      </c>
      <c r="B8" s="5">
        <f>COUNTIF(Posts!$A$5:$A$151,"Raul Montalvo")</f>
        <v>5</v>
      </c>
      <c r="C8" s="5">
        <f>SUMIF(Posts!$A$5:$A$151,"Raul Montalvo",Posts!$G$5:$G$151)</f>
        <v>401</v>
      </c>
      <c r="D8" s="6">
        <f t="shared" si="1"/>
        <v>80.2</v>
      </c>
    </row>
    <row r="9">
      <c r="A9" s="4" t="s">
        <v>49</v>
      </c>
      <c r="B9" s="5">
        <f>COUNTIF(Posts!$A$5:$A$151,"Rocío García Algora")</f>
        <v>4</v>
      </c>
      <c r="C9" s="5">
        <f>SUMIF(Posts!$A$5:$A$151,"Rocío García Algora",Posts!$G$5:$G$151)</f>
        <v>216</v>
      </c>
      <c r="D9" s="6">
        <f t="shared" si="1"/>
        <v>54</v>
      </c>
    </row>
    <row r="10">
      <c r="A10" s="4" t="s">
        <v>56</v>
      </c>
      <c r="B10" s="5">
        <f>COUNTIF(Posts!$A$5:$A$151,"Mariam Veiga")</f>
        <v>3</v>
      </c>
      <c r="C10" s="5">
        <f>SUMIF(Posts!$A$5:$A$151,"Mariam Veiga",Posts!$G$5:$G$151)</f>
        <v>177</v>
      </c>
      <c r="D10" s="6">
        <f t="shared" si="1"/>
        <v>59</v>
      </c>
    </row>
    <row r="11">
      <c r="A11" s="4" t="s">
        <v>58</v>
      </c>
      <c r="B11" s="5">
        <f>COUNTIF(Posts!$A$5:$A$151,"Ricardo Rincón")</f>
        <v>3</v>
      </c>
      <c r="C11" s="5">
        <f>SUMIF(Posts!$A$5:$A$151,"Ricardo Rincón",Posts!$G$5:$G$151)</f>
        <v>175</v>
      </c>
      <c r="D11" s="6">
        <f t="shared" si="1"/>
        <v>58.33333333</v>
      </c>
    </row>
    <row r="12">
      <c r="A12" s="4" t="s">
        <v>63</v>
      </c>
      <c r="B12" s="5">
        <f>COUNTIF(Posts!$A$5:$A$151,"Vanessa Brito Montilla")</f>
        <v>3</v>
      </c>
      <c r="C12" s="5">
        <f>SUMIF(Posts!$A$5:$A$151,"Vanessa Brito Montilla",Posts!$G$5:$G$151)</f>
        <v>129</v>
      </c>
      <c r="D12" s="6">
        <f t="shared" si="1"/>
        <v>43</v>
      </c>
    </row>
    <row r="13">
      <c r="A13" s="4" t="s">
        <v>65</v>
      </c>
      <c r="B13" s="5">
        <f>COUNTIF(Posts!$A$5:$A$151,"María Rojas")</f>
        <v>1</v>
      </c>
      <c r="C13" s="5">
        <f>SUMIF(Posts!$A$5:$A$151,"María Rojas",Posts!$G$5:$G$151)</f>
        <v>101</v>
      </c>
      <c r="D13" s="6">
        <f t="shared" si="1"/>
        <v>101</v>
      </c>
    </row>
    <row r="14">
      <c r="A14" s="4" t="s">
        <v>70</v>
      </c>
      <c r="B14" s="5">
        <f>COUNTIF(Posts!$A$5:$A$151,"Álvaro Peña de Luna")</f>
        <v>2</v>
      </c>
      <c r="C14" s="5">
        <f>SUMIF(Posts!$A$5:$A$151,"Álvaro Peña de Luna",Posts!$G$5:$G$151)</f>
        <v>98</v>
      </c>
      <c r="D14" s="6">
        <f t="shared" si="1"/>
        <v>49</v>
      </c>
    </row>
    <row r="15">
      <c r="A15" s="4" t="s">
        <v>73</v>
      </c>
      <c r="B15" s="5">
        <f>COUNTIF(Posts!$A$5:$A$151,"Rodolfo Barbosa")</f>
        <v>2</v>
      </c>
      <c r="C15" s="5">
        <f>SUMIF(Posts!$A$5:$A$151,"Rodolfo Barbosa",Posts!$G$5:$G$151)</f>
        <v>92</v>
      </c>
      <c r="D15" s="6">
        <f t="shared" si="1"/>
        <v>46</v>
      </c>
    </row>
    <row r="16">
      <c r="A16" s="4" t="s">
        <v>77</v>
      </c>
      <c r="B16" s="5">
        <f>COUNTIF(Posts!$A$5:$A$151,"Natalia Montolio")</f>
        <v>5</v>
      </c>
      <c r="C16" s="5">
        <f>SUMIF(Posts!$A$5:$A$151,"Natalia Montolio",Posts!$G$5:$G$151)</f>
        <v>81</v>
      </c>
      <c r="D16" s="6">
        <f t="shared" si="1"/>
        <v>16.2</v>
      </c>
    </row>
    <row r="17">
      <c r="A17" s="4" t="s">
        <v>79</v>
      </c>
      <c r="B17" s="5">
        <f>COUNTIF(Posts!$A$5:$A$151,"Lorena Alejandra Rodriguez")</f>
        <v>1</v>
      </c>
      <c r="C17" s="5">
        <f>SUMIF(Posts!$A$5:$A$151,"Lorena Alejandra Rodriguez",Posts!$G$5:$G$151)</f>
        <v>74</v>
      </c>
      <c r="D17" s="6">
        <f t="shared" si="1"/>
        <v>74</v>
      </c>
    </row>
    <row r="18">
      <c r="A18" s="4" t="s">
        <v>34</v>
      </c>
      <c r="B18" s="5">
        <f>COUNTIF(Posts!$A$5:$A$151,"BelisariosCorpTech .")</f>
        <v>23</v>
      </c>
      <c r="C18" s="5">
        <f>SUMIF(Posts!$A$5:$A$151,"BelisariosCorpTech .",Posts!$G$5:$G$151)</f>
        <v>50</v>
      </c>
      <c r="D18" s="6">
        <f t="shared" si="1"/>
        <v>2.173913043</v>
      </c>
    </row>
    <row r="19">
      <c r="A19" s="4" t="s">
        <v>93</v>
      </c>
      <c r="B19" s="5">
        <f>COUNTIF(Posts!$A$5:$A$151,"Betlem Cardona Devesa")</f>
        <v>1</v>
      </c>
      <c r="C19" s="5">
        <f>SUMIF(Posts!$A$5:$A$151,"Betlem Cardona Devesa",Posts!$G$5:$G$151)</f>
        <v>49</v>
      </c>
      <c r="D19" s="6">
        <f t="shared" si="1"/>
        <v>49</v>
      </c>
    </row>
    <row r="20">
      <c r="A20" s="4" t="s">
        <v>97</v>
      </c>
      <c r="B20" s="5">
        <f>COUNTIF(Posts!$A$5:$A$151,"Asdrubal R. Oliveros P.")</f>
        <v>1</v>
      </c>
      <c r="C20" s="5">
        <f>SUMIF(Posts!$A$5:$A$151,"Asdrubal R. Oliveros P.",Posts!$G$5:$G$151)</f>
        <v>49</v>
      </c>
      <c r="D20" s="6">
        <f t="shared" si="1"/>
        <v>49</v>
      </c>
    </row>
    <row r="21" ht="15.75" customHeight="1">
      <c r="A21" s="4" t="s">
        <v>102</v>
      </c>
      <c r="B21" s="5">
        <f>COUNTIF(Posts!$A$5:$A$151,"Zargaam U.")</f>
        <v>2</v>
      </c>
      <c r="C21" s="5">
        <f>SUMIF(Posts!$A$5:$A$151,"Zargaam U.",Posts!$G$5:$G$151)</f>
        <v>45</v>
      </c>
      <c r="D21" s="6">
        <f t="shared" si="1"/>
        <v>22.5</v>
      </c>
    </row>
    <row r="22" ht="15.75" customHeight="1">
      <c r="A22" s="4" t="s">
        <v>106</v>
      </c>
      <c r="B22" s="5">
        <f>COUNTIF(Posts!$A$5:$A$151,"Fernando P. Maniglia")</f>
        <v>2</v>
      </c>
      <c r="C22" s="5">
        <f>SUMIF(Posts!$A$5:$A$151,"Fernando P. Maniglia",Posts!$G$5:$G$151)</f>
        <v>42</v>
      </c>
      <c r="D22" s="6">
        <f t="shared" si="1"/>
        <v>21</v>
      </c>
    </row>
    <row r="23" ht="15.75" customHeight="1">
      <c r="A23" s="4" t="s">
        <v>111</v>
      </c>
      <c r="B23" s="5">
        <f>COUNTIF(Posts!$A$5:$A$151,"Kishalaya Mukhopadhyay")</f>
        <v>2</v>
      </c>
      <c r="C23" s="5">
        <f>SUMIF(Posts!$A$5:$A$151,"Kishalaya Mukhopadhyay",Posts!$G$5:$G$151)</f>
        <v>41</v>
      </c>
      <c r="D23" s="6">
        <f t="shared" si="1"/>
        <v>20.5</v>
      </c>
    </row>
    <row r="24" ht="15.75" customHeight="1">
      <c r="A24" s="4" t="s">
        <v>88</v>
      </c>
      <c r="B24" s="5">
        <f>COUNTIF(Posts!$A$5:$A$151,"Lina Garcia")</f>
        <v>1</v>
      </c>
      <c r="C24" s="5">
        <f>SUMIF(Posts!$A$5:$A$151,"Lina Garcia",Posts!$G$5:$G$151)</f>
        <v>29</v>
      </c>
      <c r="D24" s="6">
        <f t="shared" si="1"/>
        <v>29</v>
      </c>
    </row>
    <row r="25" ht="15.75" customHeight="1">
      <c r="A25" s="4" t="s">
        <v>109</v>
      </c>
      <c r="B25" s="5">
        <f>COUNTIF(Posts!$A$5:$A$151,"Cristian Albor")</f>
        <v>1</v>
      </c>
      <c r="C25" s="5">
        <f>SUMIF(Posts!$A$5:$A$151,"Cristian Albor",Posts!$G$5:$G$151)</f>
        <v>29</v>
      </c>
      <c r="D25" s="6">
        <f t="shared" si="1"/>
        <v>29</v>
      </c>
    </row>
    <row r="26" ht="15.75" customHeight="1">
      <c r="A26" s="4" t="s">
        <v>121</v>
      </c>
      <c r="B26" s="5">
        <f>COUNTIF(Posts!$A$5:$A$151,"Jesus Vivas Medina")</f>
        <v>1</v>
      </c>
      <c r="C26" s="5">
        <f>SUMIF(Posts!$A$5:$A$151,"Jesus Vivas Medina",Posts!$G$5:$G$151)</f>
        <v>29</v>
      </c>
      <c r="D26" s="6">
        <f t="shared" si="1"/>
        <v>29</v>
      </c>
    </row>
    <row r="27" ht="15.75" customHeight="1">
      <c r="A27" s="4" t="s">
        <v>126</v>
      </c>
      <c r="B27" s="5">
        <f>COUNTIF(Posts!$A$5:$A$151,"Carlos González")</f>
        <v>1</v>
      </c>
      <c r="C27" s="5">
        <f>SUMIF(Posts!$A$5:$A$151,"Carlos González",Posts!$G$5:$G$151)</f>
        <v>26</v>
      </c>
      <c r="D27" s="6">
        <f t="shared" si="1"/>
        <v>26</v>
      </c>
    </row>
    <row r="28" ht="15.75" customHeight="1">
      <c r="A28" s="4" t="s">
        <v>131</v>
      </c>
      <c r="B28" s="5">
        <f>COUNTIF(Posts!$A$5:$A$151,"Nakary Mendoza")</f>
        <v>1</v>
      </c>
      <c r="C28" s="5">
        <f>SUMIF(Posts!$A$5:$A$151,"Nakary Mendoza",Posts!$G$5:$G$151)</f>
        <v>25</v>
      </c>
      <c r="D28" s="6">
        <f t="shared" si="1"/>
        <v>25</v>
      </c>
    </row>
    <row r="29" ht="15.75" customHeight="1">
      <c r="A29" s="4" t="s">
        <v>134</v>
      </c>
      <c r="B29" s="5">
        <f>COUNTIF(Posts!$A$5:$A$151,"venus Castellanos")</f>
        <v>1</v>
      </c>
      <c r="C29" s="5">
        <f>SUMIF(Posts!$A$5:$A$151,"venus Castellanos",Posts!$G$5:$G$151)</f>
        <v>20</v>
      </c>
      <c r="D29" s="6">
        <f t="shared" si="1"/>
        <v>20</v>
      </c>
    </row>
    <row r="30" ht="15.75" customHeight="1">
      <c r="A30" s="4" t="s">
        <v>141</v>
      </c>
      <c r="B30" s="5">
        <f>COUNTIF(Posts!$A$5:$A$151,"Salvador Ramos Lopez")</f>
        <v>1</v>
      </c>
      <c r="C30" s="5">
        <f>SUMIF(Posts!$A$5:$A$151,"Salvador Ramos Lopez",Posts!$G$5:$G$151)</f>
        <v>20</v>
      </c>
      <c r="D30" s="6">
        <f t="shared" si="1"/>
        <v>20</v>
      </c>
    </row>
    <row r="31" ht="15.75" customHeight="1">
      <c r="A31" s="4" t="s">
        <v>144</v>
      </c>
      <c r="B31" s="5">
        <f>COUNTIF(Posts!$A$5:$A$151,"Diego Edgardo Martin Camacho")</f>
        <v>1</v>
      </c>
      <c r="C31" s="5">
        <f>SUMIF(Posts!$A$5:$A$151,"Diego Edgardo Martin Camacho",Posts!$G$5:$G$151)</f>
        <v>20</v>
      </c>
      <c r="D31" s="6">
        <f t="shared" si="1"/>
        <v>20</v>
      </c>
    </row>
    <row r="32" ht="15.75" customHeight="1">
      <c r="A32" s="4" t="s">
        <v>149</v>
      </c>
      <c r="B32" s="5">
        <f>COUNTIF(Posts!$A$5:$A$151,"Katherine Uriarte Ortiz")</f>
        <v>1</v>
      </c>
      <c r="C32" s="5">
        <f>SUMIF(Posts!$A$5:$A$151,"Katherine Uriarte Ortiz",Posts!$G$5:$G$151)</f>
        <v>19</v>
      </c>
      <c r="D32" s="6">
        <f t="shared" si="1"/>
        <v>19</v>
      </c>
    </row>
    <row r="33" ht="15.75" customHeight="1">
      <c r="A33" s="4" t="s">
        <v>153</v>
      </c>
      <c r="B33" s="5">
        <f>COUNTIF(Posts!$A$5:$A$151,"Leonardo Manotas Garcés")</f>
        <v>2</v>
      </c>
      <c r="C33" s="5">
        <f>SUMIF(Posts!$A$5:$A$151,"Leonardo Manotas Garcés",Posts!$G$5:$G$151)</f>
        <v>18</v>
      </c>
      <c r="D33" s="6">
        <f t="shared" si="1"/>
        <v>9</v>
      </c>
    </row>
    <row r="34" ht="15.75" customHeight="1">
      <c r="A34" s="4" t="s">
        <v>156</v>
      </c>
      <c r="B34" s="5">
        <f>COUNTIF(Posts!$A$5:$A$151,"Valeria Seoane Macchiavello")</f>
        <v>1</v>
      </c>
      <c r="C34" s="5">
        <f>SUMIF(Posts!$A$5:$A$151,"Valeria Seoane Macchiavello",Posts!$G$5:$G$151)</f>
        <v>17</v>
      </c>
      <c r="D34" s="6">
        <f t="shared" si="1"/>
        <v>17</v>
      </c>
    </row>
    <row r="35" ht="15.75" customHeight="1">
      <c r="A35" s="4" t="s">
        <v>42</v>
      </c>
      <c r="B35" s="5">
        <f>COUNTIF(Posts!$A$5:$A$151,"Ariana Sol Geraci")</f>
        <v>2</v>
      </c>
      <c r="C35" s="5">
        <f>SUMIF(Posts!$A$5:$A$151,"Ariana Sol Geraci",Posts!$G$5:$G$151)</f>
        <v>16</v>
      </c>
      <c r="D35" s="6">
        <f t="shared" si="1"/>
        <v>8</v>
      </c>
    </row>
    <row r="36" ht="15.75" customHeight="1">
      <c r="A36" s="4" t="s">
        <v>162</v>
      </c>
      <c r="B36" s="5">
        <f>COUNTIF(Posts!$A$5:$A$151,"Muhammad Ali")</f>
        <v>1</v>
      </c>
      <c r="C36" s="5">
        <f>SUMIF(Posts!$A$5:$A$151,"Muhammad Ali",Posts!$G$5:$G$151)</f>
        <v>16</v>
      </c>
      <c r="D36" s="6">
        <f t="shared" si="1"/>
        <v>16</v>
      </c>
    </row>
    <row r="37" ht="15.75" customHeight="1">
      <c r="A37" s="4" t="s">
        <v>166</v>
      </c>
      <c r="B37" s="5">
        <f>COUNTIF(Posts!$A$5:$A$151,"Omar Fuentes Lambouret")</f>
        <v>1</v>
      </c>
      <c r="C37" s="5">
        <f>SUMIF(Posts!$A$5:$A$151,"Omar Fuentes Lambouret",Posts!$G$5:$G$151)</f>
        <v>13</v>
      </c>
      <c r="D37" s="6">
        <f t="shared" si="1"/>
        <v>13</v>
      </c>
    </row>
    <row r="38" ht="15.75" customHeight="1">
      <c r="A38" s="4" t="s">
        <v>169</v>
      </c>
      <c r="B38" s="5">
        <f>COUNTIF(Posts!$A$5:$A$151,"Sanchit Jain")</f>
        <v>1</v>
      </c>
      <c r="C38" s="5">
        <f>SUMIF(Posts!$A$5:$A$151,"Sanchit Jain",Posts!$G$5:$G$151)</f>
        <v>12</v>
      </c>
      <c r="D38" s="6">
        <f t="shared" si="1"/>
        <v>12</v>
      </c>
    </row>
    <row r="39" ht="15.75" customHeight="1">
      <c r="A39" s="4" t="s">
        <v>175</v>
      </c>
      <c r="B39" s="5">
        <f>COUNTIF(Posts!$A$5:$A$151,"Diana Hernández")</f>
        <v>1</v>
      </c>
      <c r="C39" s="5">
        <f>SUMIF(Posts!$A$5:$A$151,"Diana Hernández",Posts!$G$5:$G$151)</f>
        <v>12</v>
      </c>
      <c r="D39" s="6">
        <f t="shared" si="1"/>
        <v>12</v>
      </c>
    </row>
    <row r="40" ht="15.75" customHeight="1">
      <c r="A40" s="4" t="s">
        <v>178</v>
      </c>
      <c r="B40" s="5">
        <f>COUNTIF(Posts!$A$5:$A$151,"Antonella Ojuez")</f>
        <v>1</v>
      </c>
      <c r="C40" s="5">
        <f>SUMIF(Posts!$A$5:$A$151,"Antonella Ojuez",Posts!$G$5:$G$151)</f>
        <v>10</v>
      </c>
      <c r="D40" s="6">
        <f t="shared" si="1"/>
        <v>10</v>
      </c>
    </row>
    <row r="41" ht="15.75" customHeight="1">
      <c r="A41" s="4" t="s">
        <v>67</v>
      </c>
      <c r="B41" s="5">
        <f>COUNTIF(Posts!$A$5:$A$151,"Deisa González")</f>
        <v>8</v>
      </c>
      <c r="C41" s="5">
        <f>SUMIF(Posts!$A$5:$A$151,"Deisa González",Posts!$G$5:$G$151)</f>
        <v>8</v>
      </c>
      <c r="D41" s="6">
        <f t="shared" si="1"/>
        <v>1</v>
      </c>
    </row>
    <row r="42" ht="15.75" customHeight="1">
      <c r="A42" s="4" t="s">
        <v>186</v>
      </c>
      <c r="B42" s="5">
        <f>COUNTIF(Posts!$A$5:$A$151,"Ana Karina Valera")</f>
        <v>1</v>
      </c>
      <c r="C42" s="5">
        <f>SUMIF(Posts!$A$5:$A$151,"Ana Karina Valera",Posts!$G$5:$G$151)</f>
        <v>8</v>
      </c>
      <c r="D42" s="6">
        <f t="shared" si="1"/>
        <v>8</v>
      </c>
    </row>
    <row r="43" ht="15.75" customHeight="1">
      <c r="A43" s="4" t="s">
        <v>190</v>
      </c>
      <c r="B43" s="5">
        <f>COUNTIF(Posts!$A$5:$A$151,"Andreina Valera Duran")</f>
        <v>1</v>
      </c>
      <c r="C43" s="5">
        <f>SUMIF(Posts!$A$5:$A$151,"Andreina Valera Duran",Posts!$G$5:$G$151)</f>
        <v>8</v>
      </c>
      <c r="D43" s="6">
        <f t="shared" si="1"/>
        <v>8</v>
      </c>
    </row>
    <row r="44" ht="15.75" customHeight="1">
      <c r="A44" s="4" t="s">
        <v>193</v>
      </c>
      <c r="B44" s="5">
        <f>COUNTIF(Posts!$A$5:$A$151,"Andreina Camara")</f>
        <v>1</v>
      </c>
      <c r="C44" s="5">
        <f>SUMIF(Posts!$A$5:$A$151,"Andreina Camara",Posts!$G$5:$G$151)</f>
        <v>7</v>
      </c>
      <c r="D44" s="6">
        <f t="shared" si="1"/>
        <v>7</v>
      </c>
    </row>
    <row r="45" ht="15.75" customHeight="1">
      <c r="A45" s="4" t="s">
        <v>198</v>
      </c>
      <c r="B45" s="5">
        <f>COUNTIF(Posts!$A$5:$A$151,"Samantha Turek")</f>
        <v>1</v>
      </c>
      <c r="C45" s="5">
        <f>SUMIF(Posts!$A$5:$A$151,"Samantha Turek",Posts!$G$5:$G$151)</f>
        <v>7</v>
      </c>
      <c r="D45" s="6">
        <f t="shared" si="1"/>
        <v>7</v>
      </c>
    </row>
    <row r="46" ht="15.75" customHeight="1">
      <c r="A46" s="4" t="s">
        <v>136</v>
      </c>
      <c r="B46" s="5">
        <f>COUNTIF(Posts!$A$5:$A$151,"Stephany Emilia Amaro")</f>
        <v>2</v>
      </c>
      <c r="C46" s="5">
        <f>SUMIF(Posts!$A$5:$A$151,"Stephany Emilia Amaro",Posts!$G$5:$G$151)</f>
        <v>6</v>
      </c>
      <c r="D46" s="6">
        <f t="shared" si="1"/>
        <v>3</v>
      </c>
    </row>
    <row r="47" ht="15.75" customHeight="1">
      <c r="A47" s="4" t="s">
        <v>148</v>
      </c>
      <c r="B47" s="5">
        <f>COUNTIF(Posts!$A$5:$A$151,"Claudio Cavezzali")</f>
        <v>5</v>
      </c>
      <c r="C47" s="5">
        <f>SUMIF(Posts!$A$5:$A$151,"Claudio Cavezzali",Posts!$G$5:$G$151)</f>
        <v>6</v>
      </c>
      <c r="D47" s="6">
        <f t="shared" si="1"/>
        <v>1.2</v>
      </c>
    </row>
    <row r="48" ht="15.75" customHeight="1">
      <c r="A48" s="4" t="s">
        <v>202</v>
      </c>
      <c r="B48" s="5">
        <f>COUNTIF(Posts!$A$5:$A$151,"Eduardo Gamez")</f>
        <v>2</v>
      </c>
      <c r="C48" s="5">
        <f>SUMIF(Posts!$A$5:$A$151,"Eduardo Gamez",Posts!$G$5:$G$151)</f>
        <v>6</v>
      </c>
      <c r="D48" s="6">
        <f t="shared" si="1"/>
        <v>3</v>
      </c>
    </row>
    <row r="49" ht="15.75" customHeight="1">
      <c r="A49" s="4" t="s">
        <v>210</v>
      </c>
      <c r="B49" s="5">
        <f>COUNTIF(Posts!$A$5:$A$151,"Arnold Gutierrez")</f>
        <v>1</v>
      </c>
      <c r="C49" s="5">
        <f>SUMIF(Posts!$A$5:$A$151,"Arnold Gutierrez",Posts!$G$5:$G$151)</f>
        <v>6</v>
      </c>
      <c r="D49" s="6">
        <f t="shared" si="1"/>
        <v>6</v>
      </c>
    </row>
    <row r="50" ht="15.75" customHeight="1">
      <c r="A50" s="4" t="s">
        <v>215</v>
      </c>
      <c r="B50" s="5">
        <f>COUNTIF(Posts!$A$5:$A$151,"Etlin Ortega")</f>
        <v>1</v>
      </c>
      <c r="C50" s="5">
        <f>SUMIF(Posts!$A$5:$A$151,"Etlin Ortega",Posts!$G$5:$G$151)</f>
        <v>6</v>
      </c>
      <c r="D50" s="6">
        <f t="shared" si="1"/>
        <v>6</v>
      </c>
    </row>
    <row r="51" ht="15.75" customHeight="1">
      <c r="A51" s="4" t="s">
        <v>50</v>
      </c>
      <c r="B51" s="5">
        <f>COUNTIF(Posts!$A$5:$A$151,"Ashley Sullivan")</f>
        <v>2</v>
      </c>
      <c r="C51" s="5">
        <f>SUMIF(Posts!$A$5:$A$151,"Ashley Sullivan",Posts!$G$5:$G$151)</f>
        <v>5</v>
      </c>
      <c r="D51" s="6">
        <f t="shared" si="1"/>
        <v>2.5</v>
      </c>
    </row>
    <row r="52" ht="15.75" customHeight="1">
      <c r="A52" s="4" t="s">
        <v>21</v>
      </c>
      <c r="B52" s="5">
        <f>COUNTIF(Posts!$A$5:$A$151,"Andreina Isabel Díaz Ravelo")</f>
        <v>1</v>
      </c>
      <c r="C52" s="5">
        <f>SUMIF(Posts!$A$5:$A$151,"Andreina Isabel Díaz Ravelo",Posts!$G$5:$G$151)</f>
        <v>4</v>
      </c>
      <c r="D52" s="6">
        <f t="shared" si="1"/>
        <v>4</v>
      </c>
    </row>
    <row r="53" ht="15.75" customHeight="1">
      <c r="A53" s="4" t="s">
        <v>224</v>
      </c>
      <c r="B53" s="5">
        <f>COUNTIF(Posts!$A$5:$A$151,"Mhailing López")</f>
        <v>1</v>
      </c>
      <c r="C53" s="5">
        <f>SUMIF(Posts!$A$5:$A$151,"Mhailing López",Posts!$G$5:$G$151)</f>
        <v>4</v>
      </c>
      <c r="D53" s="6">
        <f t="shared" si="1"/>
        <v>4</v>
      </c>
    </row>
    <row r="54" ht="15.75" customHeight="1">
      <c r="A54" s="4" t="s">
        <v>194</v>
      </c>
      <c r="B54" s="5">
        <f>COUNTIF(Posts!$A$5:$A$151,"Peter Henry")</f>
        <v>1</v>
      </c>
      <c r="C54" s="5">
        <f>SUMIF(Posts!$A$5:$A$151,"Peter Henry",Posts!$G$5:$G$151)</f>
        <v>3</v>
      </c>
      <c r="D54" s="6">
        <f t="shared" si="1"/>
        <v>3</v>
      </c>
    </row>
    <row r="55" ht="15.75" customHeight="1">
      <c r="A55" s="4" t="s">
        <v>230</v>
      </c>
      <c r="B55" s="5">
        <f>COUNTIF(Posts!$A$5:$A$151,"Breno Latorre")</f>
        <v>1</v>
      </c>
      <c r="C55" s="5">
        <f>SUMIF(Posts!$A$5:$A$151,"Breno Latorre",Posts!$G$5:$G$151)</f>
        <v>3</v>
      </c>
      <c r="D55" s="6">
        <f t="shared" si="1"/>
        <v>3</v>
      </c>
    </row>
    <row r="56" ht="15.75" customHeight="1">
      <c r="A56" s="4" t="s">
        <v>128</v>
      </c>
      <c r="B56" s="5">
        <f>COUNTIF(Posts!$A$5:$A$151,"Leandro Santorsola")</f>
        <v>1</v>
      </c>
      <c r="C56" s="5">
        <f>SUMIF(Posts!$A$5:$A$151,"Leandro Santorsola",Posts!$G$5:$G$151)</f>
        <v>2</v>
      </c>
      <c r="D56" s="6">
        <f t="shared" si="1"/>
        <v>2</v>
      </c>
    </row>
    <row r="57" ht="15.75" customHeight="1">
      <c r="A57" s="4" t="s">
        <v>236</v>
      </c>
      <c r="B57" s="5">
        <f>COUNTIF(Posts!$A$5:$A$151,"Sahed Mhamud")</f>
        <v>1</v>
      </c>
      <c r="C57" s="5">
        <f>SUMIF(Posts!$A$5:$A$151,"Sahed Mhamud",Posts!$G$5:$G$151)</f>
        <v>2</v>
      </c>
      <c r="D57" s="6">
        <f t="shared" si="1"/>
        <v>2</v>
      </c>
    </row>
    <row r="58" ht="15.75" customHeight="1">
      <c r="A58" s="4" t="s">
        <v>240</v>
      </c>
      <c r="B58" s="5">
        <f>COUNTIF(Posts!$A$5:$A$151,"Heber Carrizales")</f>
        <v>1</v>
      </c>
      <c r="C58" s="5">
        <f>SUMIF(Posts!$A$5:$A$151,"Heber Carrizales",Posts!$G$5:$G$151)</f>
        <v>2</v>
      </c>
      <c r="D58" s="6">
        <f t="shared" si="1"/>
        <v>2</v>
      </c>
    </row>
    <row r="59" ht="15.75" customHeight="1">
      <c r="A59" s="4" t="s">
        <v>243</v>
      </c>
      <c r="B59" s="5">
        <f>COUNTIF(Posts!$A$5:$A$151,"Andres Medina Samano")</f>
        <v>1</v>
      </c>
      <c r="C59" s="5">
        <f>SUMIF(Posts!$A$5:$A$151,"Andres Medina Samano",Posts!$G$5:$G$151)</f>
        <v>2</v>
      </c>
      <c r="D59" s="6">
        <f t="shared" si="1"/>
        <v>2</v>
      </c>
    </row>
    <row r="60" ht="15.75" customHeight="1">
      <c r="A60" s="4" t="s">
        <v>171</v>
      </c>
      <c r="B60" s="5">
        <f>COUNTIF(Posts!$A$5:$A$151,"Daniel Rosales")</f>
        <v>1</v>
      </c>
      <c r="C60" s="5">
        <f>SUMIF(Posts!$A$5:$A$151,"Daniel Rosales",Posts!$G$5:$G$151)</f>
        <v>1</v>
      </c>
      <c r="D60" s="6">
        <f t="shared" si="1"/>
        <v>1</v>
      </c>
    </row>
    <row r="61" ht="15.75" customHeight="1">
      <c r="A61" s="4" t="s">
        <v>248</v>
      </c>
      <c r="B61" s="5">
        <f>COUNTIF(Posts!$A$5:$A$151,"Diego Pasjalidis")</f>
        <v>1</v>
      </c>
      <c r="C61" s="5">
        <f>SUMIF(Posts!$A$5:$A$151,"Diego Pasjalidis",Posts!$G$5:$G$151)</f>
        <v>1</v>
      </c>
      <c r="D61" s="6">
        <f t="shared" si="1"/>
        <v>1</v>
      </c>
    </row>
    <row r="62" ht="15.75" customHeight="1">
      <c r="A62" s="4" t="s">
        <v>251</v>
      </c>
      <c r="B62" s="5">
        <f>COUNTIF(Posts!$A$5:$A$151,"Mariano Blejman")</f>
        <v>1</v>
      </c>
      <c r="C62" s="5">
        <f>SUMIF(Posts!$A$5:$A$151,"Mariano Blejman",Posts!$G$5:$G$151)</f>
        <v>1</v>
      </c>
      <c r="D62" s="6">
        <f t="shared" si="1"/>
        <v>1</v>
      </c>
    </row>
    <row r="63" ht="15.75" customHeight="1">
      <c r="A63" s="4" t="s">
        <v>256</v>
      </c>
      <c r="B63" s="5">
        <f>COUNTIF(Posts!$A$5:$A$151,"Julio Cesar Torres")</f>
        <v>1</v>
      </c>
      <c r="C63" s="5">
        <f>SUMIF(Posts!$A$5:$A$151,"Julio Cesar Torres",Posts!$G$5:$G$151)</f>
        <v>1</v>
      </c>
      <c r="D63" s="6">
        <f t="shared" si="1"/>
        <v>1</v>
      </c>
    </row>
    <row r="64" ht="15.75" customHeight="1">
      <c r="A64" s="4" t="s">
        <v>259</v>
      </c>
      <c r="B64" s="5">
        <f>COUNTIF(Posts!$A$5:$A$151,"Nihar Parikh")</f>
        <v>1</v>
      </c>
      <c r="C64" s="5">
        <f>SUMIF(Posts!$A$5:$A$151,"Nihar Parikh",Posts!$G$5:$G$151)</f>
        <v>1</v>
      </c>
      <c r="D64" s="6">
        <f t="shared" si="1"/>
        <v>1</v>
      </c>
    </row>
    <row r="65" ht="15.75" customHeight="1">
      <c r="A65" s="4" t="s">
        <v>265</v>
      </c>
      <c r="B65" s="5">
        <f>COUNTIF(Posts!$A$5:$A$151,"Roberto Navarro")</f>
        <v>1</v>
      </c>
      <c r="C65" s="5">
        <f>SUMIF(Posts!$A$5:$A$151,"Roberto Navarro",Posts!$G$5:$G$151)</f>
        <v>1</v>
      </c>
      <c r="D65" s="6">
        <f t="shared" si="1"/>
        <v>1</v>
      </c>
    </row>
    <row r="66" ht="15.75" customHeight="1">
      <c r="A66" s="4" t="s">
        <v>270</v>
      </c>
      <c r="B66" s="5">
        <f>COUNTIF(Posts!$A$5:$A$151,"Anais Aristigueta")</f>
        <v>1</v>
      </c>
      <c r="C66" s="5">
        <f>SUMIF(Posts!$A$5:$A$151,"Anais Aristigueta",Posts!$G$5:$G$151)</f>
        <v>1</v>
      </c>
      <c r="D66" s="6">
        <f t="shared" si="1"/>
        <v>1</v>
      </c>
    </row>
    <row r="67" ht="15.75" customHeight="1">
      <c r="A67" s="4" t="s">
        <v>80</v>
      </c>
      <c r="B67" s="5">
        <f>COUNTIF(Posts!$A$5:$A$151,"Iván Ramos")</f>
        <v>1</v>
      </c>
      <c r="C67" s="5">
        <f>SUMIF(Posts!$A$5:$A$151,"Iván Ramos",Posts!$G$5:$G$151)</f>
        <v>0</v>
      </c>
      <c r="D67" s="6">
        <f t="shared" si="1"/>
        <v>0</v>
      </c>
    </row>
    <row r="68" ht="15.75" customHeight="1">
      <c r="A68" s="4" t="s">
        <v>213</v>
      </c>
      <c r="B68" s="5">
        <f>COUNTIF(Posts!$A$5:$A$151,"Xavier Lannes")</f>
        <v>1</v>
      </c>
      <c r="C68" s="5">
        <f>SUMIF(Posts!$A$5:$A$151,"Xavier Lannes",Posts!$G$5:$G$151)</f>
        <v>0</v>
      </c>
      <c r="D68" s="6">
        <f t="shared" si="1"/>
        <v>0</v>
      </c>
    </row>
    <row r="69" ht="15.75" customHeight="1">
      <c r="A69" s="4" t="s">
        <v>280</v>
      </c>
      <c r="B69" s="5">
        <f>COUNTIF(Posts!$A$5:$A$151,"Angel Méndez")</f>
        <v>1</v>
      </c>
      <c r="C69" s="5">
        <f>SUMIF(Posts!$A$5:$A$151,"Angel Méndez",Posts!$G$5:$G$151)</f>
        <v>0</v>
      </c>
      <c r="D69" s="6">
        <f t="shared" si="1"/>
        <v>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paperSize="9" orientation="portrait"/>
  <drawing r:id="rId1"/>
</worksheet>
</file>